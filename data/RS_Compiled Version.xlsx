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sreer\Downloads\DR_HITL\"/>
    </mc:Choice>
  </mc:AlternateContent>
  <xr:revisionPtr revIDLastSave="0" documentId="13_ncr:1_{F22F9907-DD69-428C-800F-419A7F2E545C}" xr6:coauthVersionLast="47" xr6:coauthVersionMax="47" xr10:uidLastSave="{00000000-0000-0000-0000-000000000000}"/>
  <bookViews>
    <workbookView xWindow="-108" yWindow="-108" windowWidth="23256" windowHeight="13896" activeTab="5" xr2:uid="{B9E181E2-2060-4D6C-A069-3A16A1F480B8}"/>
  </bookViews>
  <sheets>
    <sheet name="DQ&amp;Q" sheetId="1" r:id="rId1"/>
    <sheet name="v1.1" sheetId="3" r:id="rId2"/>
    <sheet name="v1.2" sheetId="4" r:id="rId3"/>
    <sheet name="v1.3" sheetId="5" r:id="rId4"/>
    <sheet name="v1.4" sheetId="6" r:id="rId5"/>
    <sheet name="Compiled" sheetId="7" r:id="rId6"/>
  </sheets>
  <definedNames>
    <definedName name="_xlnm._FilterDatabase" localSheetId="0" hidden="1">'DQ&amp;Q'!$A$1:$AE$51</definedName>
    <definedName name="_xlnm._FilterDatabase" localSheetId="1" hidden="1">'v1.1'!$A$1:$CM$17</definedName>
    <definedName name="_xlnm._FilterDatabase" localSheetId="2" hidden="1">'v1.2'!$A$1:$CR$14</definedName>
    <definedName name="_xlnm._FilterDatabase" localSheetId="3" hidden="1">'v1.3'!$A$1:$CR$15</definedName>
    <definedName name="_xlnm._FilterDatabase" localSheetId="4" hidden="1">'v1.4'!$A$1:$CR$14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52" i="7" l="1"/>
  <c r="L353" i="7"/>
  <c r="L336" i="7"/>
  <c r="L337" i="7"/>
  <c r="L338" i="7"/>
  <c r="L322" i="7"/>
  <c r="L323" i="7"/>
  <c r="L307" i="7"/>
  <c r="L308" i="7"/>
  <c r="L292" i="7"/>
  <c r="L293" i="7"/>
  <c r="L277" i="7"/>
  <c r="L278" i="7"/>
  <c r="L262" i="7"/>
  <c r="L263" i="7"/>
  <c r="L247" i="7"/>
  <c r="L248" i="7"/>
  <c r="L233" i="7"/>
  <c r="L220" i="7"/>
  <c r="L207" i="7"/>
  <c r="L194" i="7"/>
  <c r="L181" i="7"/>
  <c r="L163" i="7"/>
  <c r="L164" i="7"/>
  <c r="L165" i="7"/>
  <c r="L166" i="7"/>
  <c r="L167" i="7"/>
  <c r="L168" i="7"/>
  <c r="L155" i="7"/>
  <c r="L142" i="7"/>
  <c r="J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3" i="7"/>
  <c r="J144" i="7"/>
  <c r="J145" i="7"/>
  <c r="J146" i="7"/>
  <c r="J147" i="7"/>
  <c r="J148" i="7"/>
  <c r="J149" i="7"/>
  <c r="J150" i="7"/>
  <c r="J151" i="7"/>
  <c r="J152" i="7"/>
  <c r="J153" i="7"/>
  <c r="J154" i="7"/>
  <c r="J156" i="7"/>
  <c r="J157" i="7"/>
  <c r="J158" i="7"/>
  <c r="J159" i="7"/>
  <c r="J160" i="7"/>
  <c r="J161" i="7"/>
  <c r="J162" i="7"/>
  <c r="J163" i="7"/>
  <c r="J164" i="7"/>
  <c r="J165" i="7"/>
  <c r="J166" i="7"/>
  <c r="J167" i="7"/>
  <c r="J169" i="7"/>
  <c r="J170" i="7"/>
  <c r="J171" i="7"/>
  <c r="J172" i="7"/>
  <c r="J173" i="7"/>
  <c r="J174" i="7"/>
  <c r="J175" i="7"/>
  <c r="J176" i="7"/>
  <c r="J177" i="7"/>
  <c r="J178" i="7"/>
  <c r="J179" i="7"/>
  <c r="J180" i="7"/>
  <c r="J182" i="7"/>
  <c r="J183" i="7"/>
  <c r="J184" i="7"/>
  <c r="J185" i="7"/>
  <c r="J186" i="7"/>
  <c r="J187" i="7"/>
  <c r="J188" i="7"/>
  <c r="J189" i="7"/>
  <c r="J190" i="7"/>
  <c r="J191" i="7"/>
  <c r="J192" i="7"/>
  <c r="J193" i="7"/>
  <c r="J195" i="7"/>
  <c r="J196" i="7"/>
  <c r="J197" i="7"/>
  <c r="J198" i="7"/>
  <c r="J199" i="7"/>
  <c r="J200" i="7"/>
  <c r="J201" i="7"/>
  <c r="J202" i="7"/>
  <c r="J203" i="7"/>
  <c r="J204" i="7"/>
  <c r="J205" i="7"/>
  <c r="J206" i="7"/>
  <c r="J208" i="7"/>
  <c r="J209" i="7"/>
  <c r="J210" i="7"/>
  <c r="J211" i="7"/>
  <c r="J212" i="7"/>
  <c r="J213" i="7"/>
  <c r="J214" i="7"/>
  <c r="J215" i="7"/>
  <c r="J216" i="7"/>
  <c r="J217" i="7"/>
  <c r="J218" i="7"/>
  <c r="J219" i="7"/>
  <c r="J221" i="7"/>
  <c r="J222" i="7"/>
  <c r="J223" i="7"/>
  <c r="J224" i="7"/>
  <c r="J225" i="7"/>
  <c r="J226" i="7"/>
  <c r="J227" i="7"/>
  <c r="J228" i="7"/>
  <c r="J229" i="7"/>
  <c r="J230" i="7"/>
  <c r="J231" i="7"/>
  <c r="J232" i="7"/>
  <c r="J234" i="7"/>
  <c r="J235" i="7"/>
  <c r="J236" i="7"/>
  <c r="J237" i="7"/>
  <c r="J238" i="7"/>
  <c r="J239" i="7"/>
  <c r="J240" i="7"/>
  <c r="J241" i="7"/>
  <c r="J242" i="7"/>
  <c r="J243" i="7"/>
  <c r="J244" i="7"/>
  <c r="J245" i="7"/>
  <c r="J246" i="7"/>
  <c r="J249" i="7"/>
  <c r="J250" i="7"/>
  <c r="J251" i="7"/>
  <c r="J252" i="7"/>
  <c r="J253" i="7"/>
  <c r="J254" i="7"/>
  <c r="J255" i="7"/>
  <c r="J256" i="7"/>
  <c r="J257" i="7"/>
  <c r="J258" i="7"/>
  <c r="J259" i="7"/>
  <c r="J260" i="7"/>
  <c r="J261" i="7"/>
  <c r="J264" i="7"/>
  <c r="J265" i="7"/>
  <c r="J266" i="7"/>
  <c r="J267" i="7"/>
  <c r="J268" i="7"/>
  <c r="J269" i="7"/>
  <c r="J270" i="7"/>
  <c r="J271" i="7"/>
  <c r="J272" i="7"/>
  <c r="J273" i="7"/>
  <c r="J274" i="7"/>
  <c r="J275" i="7"/>
  <c r="J276" i="7"/>
  <c r="J279" i="7"/>
  <c r="J280" i="7"/>
  <c r="J281" i="7"/>
  <c r="J282" i="7"/>
  <c r="J283" i="7"/>
  <c r="J284" i="7"/>
  <c r="J285" i="7"/>
  <c r="J286" i="7"/>
  <c r="J287" i="7"/>
  <c r="J288" i="7"/>
  <c r="J289" i="7"/>
  <c r="J290" i="7"/>
  <c r="J291" i="7"/>
  <c r="J294" i="7"/>
  <c r="J295" i="7"/>
  <c r="J296" i="7"/>
  <c r="J297" i="7"/>
  <c r="J298" i="7"/>
  <c r="J299" i="7"/>
  <c r="J300" i="7"/>
  <c r="J301" i="7"/>
  <c r="J302" i="7"/>
  <c r="J303" i="7"/>
  <c r="J304" i="7"/>
  <c r="J305" i="7"/>
  <c r="J306" i="7"/>
  <c r="J309" i="7"/>
  <c r="J310" i="7"/>
  <c r="J311" i="7"/>
  <c r="J312" i="7"/>
  <c r="J313" i="7"/>
  <c r="J314" i="7"/>
  <c r="J315" i="7"/>
  <c r="J316" i="7"/>
  <c r="J317" i="7"/>
  <c r="J318" i="7"/>
  <c r="J319" i="7"/>
  <c r="J320" i="7"/>
  <c r="J321" i="7"/>
  <c r="J324" i="7"/>
  <c r="J325" i="7"/>
  <c r="J326" i="7"/>
  <c r="J327" i="7"/>
  <c r="J328" i="7"/>
  <c r="J329" i="7"/>
  <c r="J330" i="7"/>
  <c r="J331" i="7"/>
  <c r="J332" i="7"/>
  <c r="J333" i="7"/>
  <c r="J334" i="7"/>
  <c r="J335" i="7"/>
  <c r="J336" i="7"/>
  <c r="J339" i="7"/>
  <c r="J340" i="7"/>
  <c r="J341" i="7"/>
  <c r="J342" i="7"/>
  <c r="J343" i="7"/>
  <c r="J344" i="7"/>
  <c r="J345" i="7"/>
  <c r="J346" i="7"/>
  <c r="J347" i="7"/>
  <c r="J348" i="7"/>
  <c r="J349" i="7"/>
  <c r="J350" i="7"/>
  <c r="J351"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L234" i="7"/>
  <c r="L235" i="7"/>
  <c r="L236" i="7"/>
  <c r="L237" i="7"/>
  <c r="L238" i="7"/>
  <c r="L239" i="7"/>
  <c r="L240" i="7"/>
  <c r="L241" i="7"/>
  <c r="L242" i="7"/>
  <c r="L243" i="7"/>
  <c r="L244" i="7"/>
  <c r="L245" i="7"/>
  <c r="L246" i="7"/>
  <c r="L249" i="7"/>
  <c r="L250" i="7"/>
  <c r="L251" i="7"/>
  <c r="L252" i="7"/>
  <c r="L253" i="7"/>
  <c r="L254" i="7"/>
  <c r="L255" i="7"/>
  <c r="L256" i="7"/>
  <c r="L257" i="7"/>
  <c r="L258" i="7"/>
  <c r="L259" i="7"/>
  <c r="L260" i="7"/>
  <c r="L261" i="7"/>
  <c r="L264" i="7"/>
  <c r="L265" i="7"/>
  <c r="L266" i="7"/>
  <c r="L267" i="7"/>
  <c r="L268" i="7"/>
  <c r="L269" i="7"/>
  <c r="L270" i="7"/>
  <c r="L271" i="7"/>
  <c r="L272" i="7"/>
  <c r="L273" i="7"/>
  <c r="L274" i="7"/>
  <c r="L275" i="7"/>
  <c r="L276" i="7"/>
  <c r="L279" i="7"/>
  <c r="L280" i="7"/>
  <c r="L281" i="7"/>
  <c r="L282" i="7"/>
  <c r="L283" i="7"/>
  <c r="L284" i="7"/>
  <c r="L285" i="7"/>
  <c r="L286" i="7"/>
  <c r="L287" i="7"/>
  <c r="L288" i="7"/>
  <c r="L289" i="7"/>
  <c r="L290" i="7"/>
  <c r="L291" i="7"/>
  <c r="L294" i="7"/>
  <c r="L295" i="7"/>
  <c r="L296" i="7"/>
  <c r="L297" i="7"/>
  <c r="L298" i="7"/>
  <c r="L299" i="7"/>
  <c r="L300" i="7"/>
  <c r="L301" i="7"/>
  <c r="L302" i="7"/>
  <c r="L303" i="7"/>
  <c r="L304" i="7"/>
  <c r="L305" i="7"/>
  <c r="L306" i="7"/>
  <c r="L309" i="7"/>
  <c r="L310" i="7"/>
  <c r="L311" i="7"/>
  <c r="L312" i="7"/>
  <c r="L313" i="7"/>
  <c r="L314" i="7"/>
  <c r="L315" i="7"/>
  <c r="L316" i="7"/>
  <c r="L317" i="7"/>
  <c r="L318" i="7"/>
  <c r="L319" i="7"/>
  <c r="L320" i="7"/>
  <c r="L321" i="7"/>
  <c r="L324" i="7"/>
  <c r="L325" i="7"/>
  <c r="L326" i="7"/>
  <c r="L327" i="7"/>
  <c r="L328" i="7"/>
  <c r="L329" i="7"/>
  <c r="L330" i="7"/>
  <c r="L331" i="7"/>
  <c r="L332" i="7"/>
  <c r="L333" i="7"/>
  <c r="L334" i="7"/>
  <c r="L335" i="7"/>
  <c r="L339" i="7"/>
  <c r="L340" i="7"/>
  <c r="L341" i="7"/>
  <c r="L342" i="7"/>
  <c r="L343" i="7"/>
  <c r="L344" i="7"/>
  <c r="L345" i="7"/>
  <c r="L346" i="7"/>
  <c r="L347" i="7"/>
  <c r="L348" i="7"/>
  <c r="L349" i="7"/>
  <c r="L350" i="7"/>
  <c r="L351"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130" i="7"/>
  <c r="L131" i="7"/>
  <c r="L132" i="7"/>
  <c r="L133" i="7"/>
  <c r="L134" i="7"/>
  <c r="L135" i="7"/>
  <c r="L136" i="7"/>
  <c r="L137" i="7"/>
  <c r="L138" i="7"/>
  <c r="L139" i="7"/>
  <c r="L140" i="7"/>
  <c r="L141" i="7"/>
  <c r="L143" i="7"/>
  <c r="L144" i="7"/>
  <c r="L145" i="7"/>
  <c r="L146" i="7"/>
  <c r="L147" i="7"/>
  <c r="L148" i="7"/>
  <c r="L149" i="7"/>
  <c r="L150" i="7"/>
  <c r="L151" i="7"/>
  <c r="L152" i="7"/>
  <c r="L153" i="7"/>
  <c r="L154" i="7"/>
  <c r="L156" i="7"/>
  <c r="L157" i="7"/>
  <c r="L158" i="7"/>
  <c r="L159" i="7"/>
  <c r="L160" i="7"/>
  <c r="L161" i="7"/>
  <c r="L162" i="7"/>
  <c r="L169" i="7"/>
  <c r="L170" i="7"/>
  <c r="L171" i="7"/>
  <c r="L172" i="7"/>
  <c r="L173" i="7"/>
  <c r="L174" i="7"/>
  <c r="L175" i="7"/>
  <c r="L176" i="7"/>
  <c r="L177" i="7"/>
  <c r="L178" i="7"/>
  <c r="L179" i="7"/>
  <c r="L180" i="7"/>
  <c r="L182" i="7"/>
  <c r="L183" i="7"/>
  <c r="L184" i="7"/>
  <c r="L185" i="7"/>
  <c r="L186" i="7"/>
  <c r="L187" i="7"/>
  <c r="L188" i="7"/>
  <c r="L189" i="7"/>
  <c r="L190" i="7"/>
  <c r="L191" i="7"/>
  <c r="L192" i="7"/>
  <c r="L193" i="7"/>
  <c r="L195" i="7"/>
  <c r="L196" i="7"/>
  <c r="L197" i="7"/>
  <c r="L198" i="7"/>
  <c r="L199" i="7"/>
  <c r="L200" i="7"/>
  <c r="L201" i="7"/>
  <c r="L202" i="7"/>
  <c r="L203" i="7"/>
  <c r="L204" i="7"/>
  <c r="L205" i="7"/>
  <c r="L206" i="7"/>
  <c r="L208" i="7"/>
  <c r="L209" i="7"/>
  <c r="L210" i="7"/>
  <c r="L211" i="7"/>
  <c r="L212" i="7"/>
  <c r="L213" i="7"/>
  <c r="L214" i="7"/>
  <c r="L215" i="7"/>
  <c r="L216" i="7"/>
  <c r="L217" i="7"/>
  <c r="L218" i="7"/>
  <c r="L219" i="7"/>
  <c r="L221" i="7"/>
  <c r="L222" i="7"/>
  <c r="L223" i="7"/>
  <c r="L224" i="7"/>
  <c r="L225" i="7"/>
  <c r="L226" i="7"/>
  <c r="L227" i="7"/>
  <c r="L228" i="7"/>
  <c r="L229" i="7"/>
  <c r="L230" i="7"/>
  <c r="L231" i="7"/>
  <c r="L23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2" i="7"/>
</calcChain>
</file>

<file path=xl/sharedStrings.xml><?xml version="1.0" encoding="utf-8"?>
<sst xmlns="http://schemas.openxmlformats.org/spreadsheetml/2006/main" count="5774" uniqueCount="1232">
  <si>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</si>
  <si>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</si>
  <si>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</si>
  <si>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</si>
  <si>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</si>
  <si>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</si>
  <si>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</si>
  <si>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</si>
  <si>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</si>
  <si>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</si>
  <si>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</si>
  <si>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</si>
  <si>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</si>
  <si>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</si>
  <si>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</si>
  <si>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</si>
  <si>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</si>
  <si>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</si>
  <si>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MIQ_Browser</t>
  </si>
  <si>
    <t>MIQ_Version</t>
  </si>
  <si>
    <t>MIQ_Operating System</t>
  </si>
  <si>
    <t>MIQ_Resolution</t>
  </si>
  <si>
    <t>DQ1</t>
  </si>
  <si>
    <t>DQ2</t>
  </si>
  <si>
    <t>DQ2_6_TEXT</t>
  </si>
  <si>
    <t>DQ3</t>
  </si>
  <si>
    <t>DQ4</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</si>
  <si>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</si>
  <si>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</si>
  <si>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</si>
  <si>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</si>
  <si>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</si>
  <si>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</si>
  <si>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</si>
  <si>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</si>
  <si>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</si>
  <si>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</si>
  <si>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</si>
  <si>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</si>
  <si>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</si>
  <si>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</si>
  <si>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Click to write the question text - Browser</t>
  </si>
  <si>
    <t>Click to write the question text - Version</t>
  </si>
  <si>
    <t>Click to write the question text - Operating System</t>
  </si>
  <si>
    <t>Click to write the question text - Resolution</t>
  </si>
  <si>
    <t>Please select your age group:</t>
  </si>
  <si>
    <t>What is the highest level of education you have completed? - Selected Choice</t>
  </si>
  <si>
    <t>What is the highest level of education you have completed? - Other (please specify): - Text</t>
  </si>
  <si>
    <t>How would you describe your proficiency in English?</t>
  </si>
  <si>
    <t>What is your major or primary field of study?</t>
  </si>
  <si>
    <t>{"ImportId":"startDate","timeZone":"America/New_York"}</t>
  </si>
  <si>
    <t>{"ImportId":"endDate","timeZone":"America/New_York"}</t>
  </si>
  <si>
    <t>{"ImportId":"status"}</t>
  </si>
  <si>
    <t>{"ImportId":"ipAddress"}</t>
  </si>
  <si>
    <t>{"ImportId":"progress"}</t>
  </si>
  <si>
    <t>{"ImportId":"duration"}</t>
  </si>
  <si>
    <t>{"ImportId":"finished"}</t>
  </si>
  <si>
    <t>{"ImportId":"recordedDate","timeZone":"America/New_York"}</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</si>
  <si>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</si>
  <si>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</si>
  <si>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</si>
  <si>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</si>
  <si>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</si>
  <si>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</si>
  <si>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</si>
  <si>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</si>
  <si>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</si>
  <si>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{"ImportId":"Q_RecaptchaScore"}</t>
  </si>
  <si>
    <t>{"ImportId":"QID278_BROWSER"}</t>
  </si>
  <si>
    <t>{"ImportId":"QID278_VERSION"}</t>
  </si>
  <si>
    <t>{"ImportId":"QID278_OS"}</t>
  </si>
  <si>
    <t>{"ImportId":"QID278_RESOLUTION"}</t>
  </si>
  <si>
    <t>{"ImportId":"QID129"}</t>
  </si>
  <si>
    <t>{"ImportId":"QID130"}</t>
  </si>
  <si>
    <t>{"ImportId":"QID130_6_TEXT"}</t>
  </si>
  <si>
    <t>{"ImportId":"QID131"}</t>
  </si>
  <si>
    <t>{"ImportId":"QID132_TEXT"}</t>
  </si>
  <si>
    <t>98.97.21.133</t>
  </si>
  <si>
    <t>R_3SkrmfHnuIS4L6a</t>
  </si>
  <si>
    <t>anonymous</t>
  </si>
  <si>
    <t>EN</t>
  </si>
  <si>
    <t>Edge</t>
  </si>
  <si>
    <t>130.0.0.0</t>
  </si>
  <si>
    <t>Windows NT 10.0</t>
  </si>
  <si>
    <t>1536x864</t>
  </si>
  <si>
    <t>25 - 34</t>
  </si>
  <si>
    <t>Bachelor's degree</t>
  </si>
  <si>
    <t>Native speaker</t>
  </si>
  <si>
    <t>Data Science</t>
  </si>
  <si>
    <t>68.187.219.56</t>
  </si>
  <si>
    <t>R_52z5giui0M83pW1</t>
  </si>
  <si>
    <t>Safari</t>
  </si>
  <si>
    <t>17.4.1</t>
  </si>
  <si>
    <t>Macintosh</t>
  </si>
  <si>
    <t>1496x967</t>
  </si>
  <si>
    <t>Master's degree</t>
  </si>
  <si>
    <t>35.149.235.163</t>
  </si>
  <si>
    <t>R_5rjEVSKwcnVNKRa</t>
  </si>
  <si>
    <t>18 - 24</t>
  </si>
  <si>
    <t>Intermediate</t>
  </si>
  <si>
    <t>Data science</t>
  </si>
  <si>
    <t>130.215.218.27</t>
  </si>
  <si>
    <t>R_5HjCtkQSCxhuJhY</t>
  </si>
  <si>
    <t>Firefox</t>
  </si>
  <si>
    <t>97.177.54.192</t>
  </si>
  <si>
    <t>R_6dSwhShypzhmm8H</t>
  </si>
  <si>
    <t>Safari iPhone</t>
  </si>
  <si>
    <t>18.0.1</t>
  </si>
  <si>
    <t>iPhone</t>
  </si>
  <si>
    <t>393x852</t>
  </si>
  <si>
    <t>172.224.237.205</t>
  </si>
  <si>
    <t>R_5jOrIfFEvWMQYFL</t>
  </si>
  <si>
    <t>834x1194</t>
  </si>
  <si>
    <t>Computer Science</t>
  </si>
  <si>
    <t>35.149.241.19</t>
  </si>
  <si>
    <t>R_5cTExrkJMkAjWKF</t>
  </si>
  <si>
    <t>Chrome</t>
  </si>
  <si>
    <t>1334x834</t>
  </si>
  <si>
    <t>Fluent</t>
  </si>
  <si>
    <t>R_1rTxIz0ygKGzd8q</t>
  </si>
  <si>
    <t>1707x1067</t>
  </si>
  <si>
    <t>71.184.206.137</t>
  </si>
  <si>
    <t>R_7NTWN0cZAUZlTjh</t>
  </si>
  <si>
    <t>1440x900</t>
  </si>
  <si>
    <t>130.215.222.218</t>
  </si>
  <si>
    <t>R_6NlkR0SKsPxZ8jF</t>
  </si>
  <si>
    <t>Linux x86_64</t>
  </si>
  <si>
    <t>1920x1080</t>
  </si>
  <si>
    <t>High school diploma or equivalent</t>
  </si>
  <si>
    <t>130.215.223.88</t>
  </si>
  <si>
    <t>R_5khqc4239oJlJoT</t>
  </si>
  <si>
    <t>1536x960</t>
  </si>
  <si>
    <t>66.189.10.105</t>
  </si>
  <si>
    <t>R_5rUu47zofiUvJV7</t>
  </si>
  <si>
    <t>1680x1050</t>
  </si>
  <si>
    <t>MSCS</t>
  </si>
  <si>
    <t>R_7htKA6YiE8poNBh</t>
  </si>
  <si>
    <t>Chrome iPhone</t>
  </si>
  <si>
    <t>130.0.6723.90</t>
  </si>
  <si>
    <t>428x926</t>
  </si>
  <si>
    <t>Proficient</t>
  </si>
  <si>
    <t xml:space="preserve">Data Science </t>
  </si>
  <si>
    <t>35.149.235.177</t>
  </si>
  <si>
    <t>R_3QotR7W8OjfvLEv</t>
  </si>
  <si>
    <t>1280x720</t>
  </si>
  <si>
    <t>130.215.10.211</t>
  </si>
  <si>
    <t>R_725rLH5CyZj9T37</t>
  </si>
  <si>
    <t>130.215.207.190</t>
  </si>
  <si>
    <t>R_50uSOF3nCwMz6pO</t>
  </si>
  <si>
    <t>130.215.9.19</t>
  </si>
  <si>
    <t>R_1dAyOOi0jjA0TcJ</t>
  </si>
  <si>
    <t>1280x800</t>
  </si>
  <si>
    <t>130.215.11.191</t>
  </si>
  <si>
    <t>R_3sza01cqHrIc5VG</t>
  </si>
  <si>
    <t>130.215.218.146</t>
  </si>
  <si>
    <t>R_3SLJsCXLPlSmKY1</t>
  </si>
  <si>
    <t>35.149.235.139</t>
  </si>
  <si>
    <t>R_7HphpDwX3YqZ216</t>
  </si>
  <si>
    <t>1854x971</t>
  </si>
  <si>
    <t>Masters in Data Science</t>
  </si>
  <si>
    <t>71.184.103.19</t>
  </si>
  <si>
    <t>R_16iXmHKMPJkSSNH</t>
  </si>
  <si>
    <t>35.149.235.25</t>
  </si>
  <si>
    <t>R_7vzVkDmcwboeS4h</t>
  </si>
  <si>
    <t>35.149.220.138</t>
  </si>
  <si>
    <t>R_31evL7V0wRyIvAZ</t>
  </si>
  <si>
    <t>130.215.12.209</t>
  </si>
  <si>
    <t>R_31t79XbfDViS5xh</t>
  </si>
  <si>
    <t>75.136.64.20</t>
  </si>
  <si>
    <t>R_7vkvGGFFBFi9dRN</t>
  </si>
  <si>
    <t xml:space="preserve">Computer Science </t>
  </si>
  <si>
    <t>130.215.15.214</t>
  </si>
  <si>
    <t>R_7fdVyomYlRNQkfc</t>
  </si>
  <si>
    <t>35.149.240.63</t>
  </si>
  <si>
    <t>R_5SsIACOMEWfGI25</t>
  </si>
  <si>
    <t>Cybersecurity</t>
  </si>
  <si>
    <t>130.215.12.141</t>
  </si>
  <si>
    <t>R_1iky5luaeAVnHid</t>
  </si>
  <si>
    <t>bioinformatics</t>
  </si>
  <si>
    <t>R_1QA3f8oLYI4LUMW</t>
  </si>
  <si>
    <t>390x844</t>
  </si>
  <si>
    <t>Mscs</t>
  </si>
  <si>
    <t>207.174.167.93</t>
  </si>
  <si>
    <t>R_5UXxTJfZNF909WN</t>
  </si>
  <si>
    <t>1470x956</t>
  </si>
  <si>
    <t>47.14.87.188</t>
  </si>
  <si>
    <t>R_1jZ0n0HPvhEAiMq</t>
  </si>
  <si>
    <t>1080x1920</t>
  </si>
  <si>
    <t>130.215.175.136</t>
  </si>
  <si>
    <t>R_7KlK4FVNT0mLbbo</t>
  </si>
  <si>
    <t>130.215.210.96</t>
  </si>
  <si>
    <t>R_1PnZpLBUqJ1ogMU</t>
  </si>
  <si>
    <t>129.0.0.0</t>
  </si>
  <si>
    <t>1512x982</t>
  </si>
  <si>
    <t>130.215.219.37</t>
  </si>
  <si>
    <t>R_6PXf0DWQG7wFBkF</t>
  </si>
  <si>
    <t>128.0.0.0</t>
  </si>
  <si>
    <t>130.215.168.121</t>
  </si>
  <si>
    <t>R_66Q5uCOZwmFBehj</t>
  </si>
  <si>
    <t>Ubuntu</t>
  </si>
  <si>
    <t>1920x1200</t>
  </si>
  <si>
    <t>Robotics Engineering</t>
  </si>
  <si>
    <t>130.215.123.105</t>
  </si>
  <si>
    <t>R_1ERJwGg0ZnGqYgU</t>
  </si>
  <si>
    <t>76.151.222.69</t>
  </si>
  <si>
    <t>R_3SLpaJEd1nmyqoF</t>
  </si>
  <si>
    <t>35.149.235.32</t>
  </si>
  <si>
    <t>R_5eDdldVtChQW96C</t>
  </si>
  <si>
    <t>207.174.161.158</t>
  </si>
  <si>
    <t>R_58UHXjRRFOo6Ae8</t>
  </si>
  <si>
    <t>768x705</t>
  </si>
  <si>
    <t>130.215.121.179</t>
  </si>
  <si>
    <t>R_3MyP23fkbz3TS5M</t>
  </si>
  <si>
    <t>1924x926</t>
  </si>
  <si>
    <t>66.189.125.75</t>
  </si>
  <si>
    <t>R_7kNf98DKvxOPlel</t>
  </si>
  <si>
    <t>Artificial Intelligence</t>
  </si>
  <si>
    <t>172.56.192.2</t>
  </si>
  <si>
    <t>R_77t5k8R44loqgtX</t>
  </si>
  <si>
    <t>Opera</t>
  </si>
  <si>
    <t>114.0.0.0</t>
  </si>
  <si>
    <t>75.143.38.199</t>
  </si>
  <si>
    <t>R_7fa8ZWAEJsQpDdB</t>
  </si>
  <si>
    <t>R_71c3NcKWKg6bP98</t>
  </si>
  <si>
    <t>35.149.241.1</t>
  </si>
  <si>
    <t>R_52saDqAs39t42OD</t>
  </si>
  <si>
    <t>35.149.240.66</t>
  </si>
  <si>
    <t>R_6PuzFaw0Bb6Np3A</t>
  </si>
  <si>
    <t>R_6q9yaYcpeJkOut4</t>
  </si>
  <si>
    <t>ARTIFICIAL INTELLIGENCE</t>
  </si>
  <si>
    <t>107.195.68.133</t>
  </si>
  <si>
    <t>R_6miUsXUc6mdoeY1</t>
  </si>
  <si>
    <t>CS</t>
  </si>
  <si>
    <t>Q1</t>
  </si>
  <si>
    <t>Q2</t>
  </si>
  <si>
    <t>Q3</t>
  </si>
  <si>
    <t>Q4</t>
  </si>
  <si>
    <t>Based on your assessment of Table A and Table B, select the factors you considered in determining whether they are union-able or if you think they're not union-able (select all that apply):</t>
  </si>
  <si>
    <t>Based on your assessment of the below tables, Table A and Table B, select the factors you considered in determining whether they are union-able or if you think they're not union-able (select all that apply):</t>
  </si>
  <si>
    <t>{"ImportId":"QID144"}</t>
  </si>
  <si>
    <t>{"ImportId":"QID142"}</t>
  </si>
  <si>
    <t>{"ImportId":"QID110"}</t>
  </si>
  <si>
    <t>{"ImportId":"QID143"}</t>
  </si>
  <si>
    <t>The data types of the attributes in Table A and Table B are similar and from the same domain.,The attributes in Table A and Table B semantically represent the same concept.,There is a significant overlap in the values of the attributes in Table A and Table B.,The attributes in Table A and Table B represent values from the same set.,Table A and Table B can be combined under a common schema.</t>
  </si>
  <si>
    <t>The Tables A &amp; B are non-unionable</t>
  </si>
  <si>
    <t>The data types of the attributes in Table A and Table B are similar and from the same domain.,The attributes in Table A and Table B semantically represent the same concept.,Table A and Table B can be combined under a common schema.</t>
  </si>
  <si>
    <t>The data types of the attributes in Table A and Table B are similar and from the same domain.,The attributes in Table A and Table B semantically represent the same concept.,There is a significant overlap in the values of the attributes in Table A and Table B.,The attributes in Table A and Table B represent values from the same set.,Table A and Table B can be combined under a common schema.,If Table A and Table B are unioned, the resulting dataset will maintain consistency and coherence in terms of data types, semantics, and structure.</t>
  </si>
  <si>
    <t>Table A and Table B can be combined under a common schema.</t>
  </si>
  <si>
    <t>The data types of the attributes in Table A and Table B are similar and from the same domain.,The attributes in Table A and Table B semantically represent the same concept.,There is a significant overlap in the values of the attributes in Table A and Table B.</t>
  </si>
  <si>
    <t>The data types of the attributes in Table A and Table B are similar and from the same domain.,The attributes in Table A and Table B semantically represent the same concept.,There is a significant overlap in the values of the attributes in Table A and Table B.,The attributes in Table A and Table B represent values from the same set.</t>
  </si>
  <si>
    <t>The attributes in Table A and Table B semantically represent the same concept.,There is a significant overlap in the values of the attributes in Table A and Table B.,The attributes in Table A and Table B represent values from the same set.</t>
  </si>
  <si>
    <t>The data types of the attributes in Table A and Table B are similar and from the same domain.,The attributes in Table A and Table B semantically represent the same concept.,The attributes in Table A and Table B represent values from the same set.</t>
  </si>
  <si>
    <t>The attributes in Table A and Table B semantically represent the same concept.,The attributes in Table A and Table B represent values from the same set.,The Tables A &amp; B are non-unionable</t>
  </si>
  <si>
    <t>There is a significant overlap in the values of the attributes in Table A and Table B.,The attributes in Table A and Table B represent values from the same set.</t>
  </si>
  <si>
    <t>The attributes in Table A and Table B represent values from the same set.,The Tables A &amp; B are non-unionable</t>
  </si>
  <si>
    <t>The data types of the attributes in Table A and Table B are similar and from the same domain.,Table A and Table B can be combined under a common schema.</t>
  </si>
  <si>
    <t>The data types of the attributes in Table A and Table B are similar and from the same domain.,The attributes in Table A and Table B semantically represent the same concept.</t>
  </si>
  <si>
    <t>The data types of the attributes in Table A and Table B are similar and from the same domain.,The attributes in Table A and Table B semantically represent the same concept.,There is a significant overlap in the values of the attributes in Table A and Table B.,Table A and Table B can be combined under a common schema.,If Table A and Table B are unioned, the resulting dataset will maintain consistency and coherence in terms of data types, semantics, and structure.</t>
  </si>
  <si>
    <t>The data types of the attributes in Table A and Table B are similar and from the same domain.</t>
  </si>
  <si>
    <t>The data types of the attributes in Table A and Table B are similar and from the same domain.,There is a significant overlap in the values of the attributes in Table A and Table B.,Table A and Table B can be combined under a common schema.,If Table A and Table B are unioned, the resulting dataset will maintain consistency and coherence in terms of data types, semantics, and structure.</t>
  </si>
  <si>
    <t>The data types of the attributes in Table A and Table B are similar and from the same domain.,The attributes in Table A and Table B semantically represent the same concept.,Table A and Table B can be combined under a common schema.,If Table A and Table B are unioned, the resulting dataset will maintain consistency and coherence in terms of data types, semantics, and structure.</t>
  </si>
  <si>
    <t>The attributes in Table A and Table B semantically represent the same concept.,Table A and Table B can be combined under a common schema.</t>
  </si>
  <si>
    <t>The data types of the attributes in Table A and Table B are similar and from the same domain.,The attributes in Table A and Table B semantically represent the same concept.,The attributes in Table A and Table B represent values from the same set.,Table A and Table B can be combined under a common schema.,If Table A and Table B are unioned, the resulting dataset will maintain consistency and coherence in terms of data types, semantics, and structure.</t>
  </si>
  <si>
    <t>The data types of the attributes in Table A and Table B are similar and from the same domain.,The attributes in Table A and Table B semantically represent the same concept.,There is a significant overlap in the values of the attributes in Table A and Table B.,The attributes in Table A and Table B represent values from the same set.,If Table A and Table B are unioned, the resulting dataset will maintain consistency and coherence in terms of data types, semantics, and structure.</t>
  </si>
  <si>
    <t>The attributes in Table A and Table B semantically represent the same concept.,There is a significant overlap in the values of the attributes in Table A and Table B.,Table A and Table B can be combined under a common schema.,The Tables A &amp; B are non-unionable</t>
  </si>
  <si>
    <t>The data types of the attributes in Table A and Table B are similar and from the same domain.,The attributes in Table A and Table B semantically represent the same concept.,There is a significant overlap in the values of the attributes in Table A and Table B.,Table A and Table B can be combined under a common schema.</t>
  </si>
  <si>
    <t>There is a significant overlap in the values of the attributes in Table A and Table B.,If Table A and Table B are unioned, the resulting dataset will maintain consistency and coherence in terms of data types, semantics, and structure.</t>
  </si>
  <si>
    <t>The attributes in Table A and Table B represent values from the same set.,Table A and Table B can be combined under a common schema.,If Table A and Table B are unioned, the resulting dataset will maintain consistency and coherence in terms of data types, semantics, and structure.</t>
  </si>
  <si>
    <t>There is a significant overlap in the values of the attributes in Table A and Table B.,The attributes in Table A and Table B represent values from the same set.,Table A and Table B can be combined under a common schema.</t>
  </si>
  <si>
    <t>The data types of the attributes in Table A and Table B are similar and from the same domain.,There is a significant overlap in the values of the attributes in Table A and Table B.,The attributes in Table A and Table B represent values from the same set.</t>
  </si>
  <si>
    <t>The data types of the attributes in Table A and Table B are similar and from the same domain.,The attributes in Table A and Table B represent values from the same set.,If Table A and Table B are unioned, the resulting dataset will maintain consistency and coherence in terms of data types, semantics, and structure.</t>
  </si>
  <si>
    <t>There is a significant overlap in the values of the attributes in Table A and Table B.,The attributes in Table A and Table B represent values from the same set.,If Table A and Table B are unioned, the resulting dataset will maintain consistency and coherence in terms of data types, semantics, and structure.</t>
  </si>
  <si>
    <t>The attributes in Table A and Table B semantically represent the same concept.,There is a significant overlap in the values of the attributes in Table A and Table B.,If Table A and Table B are unioned, the resulting dataset will maintain consistency and coherence in terms of data types, semantics, and structure.</t>
  </si>
  <si>
    <t>The attributes in Table A and Table B semantically represent the same concept.,The attributes in Table A and Table B represent values from the same set.,Table A and Table B can be combined under a common schema.</t>
  </si>
  <si>
    <t>The attributes in Table A and Table B semantically represent the same concept.,The attributes in Table A and Table B represent values from the same set.</t>
  </si>
  <si>
    <t>The data types of the attributes in Table A and Table B are similar and from the same domain.,The attributes in Table A and Table B represent values from the same set.</t>
  </si>
  <si>
    <t>The attributes in Table A and Table B represent values from the same set.</t>
  </si>
  <si>
    <t>There is a significant overlap in the values of the attributes in Table A and Table B.</t>
  </si>
  <si>
    <t>The attributes in Table A and Table B semantically represent the same concept.</t>
  </si>
  <si>
    <t>The data types of the attributes in Table A and Table B are similar and from the same domain.,Table A and Table B can be combined under a common schema.,If Table A and Table B are unioned, the resulting dataset will maintain consistency and coherence in terms of data types, semantics, and structure.</t>
  </si>
  <si>
    <t>There is a significant overlap in the values of the attributes in Table A and Table B.,Table A and Table B can be combined under a common schema.</t>
  </si>
  <si>
    <t>The data types of the attributes in Table A and Table B are similar and from the same domain.,The Tables A &amp; B are non-unionable</t>
  </si>
  <si>
    <t>The data types of the attributes in Table A and Table B are similar and from the same domain.,The attributes in Table A and Table B semantically represent the same concept.,The Tables A &amp; B are non-unionable</t>
  </si>
  <si>
    <t>The data types of the attributes in Table A and Table B are similar and from the same domain.,The attributes in Table A and Table B semantically represent the same concept.,The attributes in Table A and Table B represent values from the same set.,Table A and Table B can be combined under a common schema.</t>
  </si>
  <si>
    <t>The data types of the attributes in Table A and Table B are similar and from the same domain.,There is a significant overlap in the values of the attributes in Table A and Table B.,The attributes in Table A and Table B represent values from the same set.,If Table A and Table B are unioned, the resulting dataset will maintain consistency and coherence in terms of data types, semantics, and structure.</t>
  </si>
  <si>
    <t>The attributes in Table A and Table B represent values from the same set.,Table A and Table B can be combined under a common schema.,The Tables A &amp; B are non-unionable</t>
  </si>
  <si>
    <t>The data types of the attributes in Table A and Table B are similar and from the same domain.,There is a significant overlap in the values of the attributes in Table A and Table B.,Table A and Table B can be combined under a common schema.</t>
  </si>
  <si>
    <t>The data types of the attributes in Table A and Table B are similar and from the same domain.,The attributes in Table A and Table B represent values from the same set.,Table A and Table B can be combined under a common schema.,If Table A and Table B are unioned, the resulting dataset will maintain consistency and coherence in terms of data types, semantics, and structure.</t>
  </si>
  <si>
    <t>The attributes in Table A and Table B represent values from the same set.,Table A and Table B can be combined under a common schema.,If Table A and Table B are unioned, the resulting dataset will maintain consistency and coherence in terms of data types, semantics, and structure.,The Tables A &amp; B are non-unionable</t>
  </si>
  <si>
    <t>The attributes in Table A and Table B semantically represent the same concept.,The attributes in Table A and Table B represent values from the same set.,If Table A and Table B are unioned, the resulting dataset will maintain consistency and coherence in terms of data types, semantics, and structure.</t>
  </si>
  <si>
    <t>The attributes in Table A and Table B semantically represent the same concept.,The Tables A &amp; B are non-unionable</t>
  </si>
  <si>
    <t>The attributes in Table A and Table B semantically represent the same concept.,There is a significant overlap in the values of the attributes in Table A and Table B.,Table A and Table B can be combined under a common schema.</t>
  </si>
  <si>
    <t>The attributes in Table A and Table B semantically represent the same concept.,The attributes in Table A and Table B represent values from the same set.,Table A and Table B can be combined under a common schema.,If Table A and Table B are unioned, the resulting dataset will maintain consistency and coherence in terms of data types, semantics, and structure.</t>
  </si>
  <si>
    <t>There is a significant overlap in the values of the attributes in Table A and Table B.,Table A and Table B can be combined under a common schema.,If Table A and Table B are unioned, the resulting dataset will maintain consistency and coherence in terms of data types, semantics, and structure.</t>
  </si>
  <si>
    <t>The data types of the attributes in Table A and Table B are similar and from the same domain.,The attributes in Table A and Table B represent values from the same set.,Table A and Table B can be combined under a common schema.</t>
  </si>
  <si>
    <t>The attributes in Table A and Table B semantically represent the same concept.,If Table A and Table B are unioned, the resulting dataset will maintain consistency and coherence in terms of data types, semantics, and structure.</t>
  </si>
  <si>
    <t>If Table A and Table B are unioned, the resulting dataset will maintain consistency and coherence in terms of data types, semantics, and structure.</t>
  </si>
  <si>
    <t>The attributes in Table A and Table B semantically represent the same concept.,There is a significant overlap in the values of the attributes in Table A and Table B.</t>
  </si>
  <si>
    <t>Table A and Table B can be combined under a common schema.,If Table A and Table B are unioned, the resulting dataset will maintain consistency and coherence in terms of data types, semantics, and structure.</t>
  </si>
  <si>
    <t>The data types of the attributes in Table A and Table B are similar and from the same domain.,The attributes in Table A and Table B semantically represent the same concept.,There is a significant overlap in the values of the attributes in Table A and Table B.,If Table A and Table B are unioned, the resulting dataset will maintain consistency and coherence in terms of data types, semantics, and structure.</t>
  </si>
  <si>
    <t>Table A and Table B can be combined under a common schema.,The Tables A &amp; B are non-unionable</t>
  </si>
  <si>
    <t>The data types of the attributes in Table A and Table B are similar and from the same domain.,The attributes in Table A and Table B semantically represent the same concept.,Table A and Table B can be combined under a common schema.,The Tables A &amp; B are non-unionable</t>
  </si>
  <si>
    <t>The data types of the attributes in Table A and Table B are similar and from the same domain.,The attributes in Table A and Table B semantically represent the same concept.,Table A and Table B can be combined under a common schema.,If Table A and Table B are unioned, the resulting dataset will maintain consistency and coherence in terms of data types, semantics, and structure.,The Tables A &amp; B are non-unionable</t>
  </si>
  <si>
    <t>The data types of the attributes in Table A and Table B are similar and from the same domain.,The attributes in Table A and Table B semantically represent the same concept.,There is a significant overlap in the values of the attributes in Table A and Table B.,The attributes in Table A and Table B represent values from the same set.,If Table A and Table B are unioned, the resulting dataset will maintain consistency and coherence in terms of data types, semantics, and structure.,The Tables A &amp; B are non-unionable</t>
  </si>
  <si>
    <t>The attributes in Table A and Table B semantically represent the same concept.,There is a significant overlap in the values of the attributes in Table A and Table B.,The attributes in Table A and Table B represent values from the same set.,Table A and Table B can be combined under a common schema.</t>
  </si>
  <si>
    <t>1MS1</t>
  </si>
  <si>
    <t>1DT1_First Click</t>
  </si>
  <si>
    <t>1DT1_Last Click</t>
  </si>
  <si>
    <t>1DT1_Page Submit</t>
  </si>
  <si>
    <t>1DT1_Click Count</t>
  </si>
  <si>
    <t>1CL1_1</t>
  </si>
  <si>
    <t>1ES1</t>
  </si>
  <si>
    <t>1MS2</t>
  </si>
  <si>
    <t>1DT2_First Click</t>
  </si>
  <si>
    <t>1DT2_Last Click</t>
  </si>
  <si>
    <t>1DT2_Page Submit</t>
  </si>
  <si>
    <t>1DT2_Click Count</t>
  </si>
  <si>
    <t>1CL2_1</t>
  </si>
  <si>
    <t>1ES2</t>
  </si>
  <si>
    <t>1MS3</t>
  </si>
  <si>
    <t>1DT3_First Click</t>
  </si>
  <si>
    <t>1DT3_Last Click</t>
  </si>
  <si>
    <t>1DT3_Page Submit</t>
  </si>
  <si>
    <t>1DT3_Click Count</t>
  </si>
  <si>
    <t>1CL3_1</t>
  </si>
  <si>
    <t>1ES3</t>
  </si>
  <si>
    <t>1MS4</t>
  </si>
  <si>
    <t>1DT4_First Click</t>
  </si>
  <si>
    <t>1DT4_Last Click</t>
  </si>
  <si>
    <t>1DT4_Page Submit</t>
  </si>
  <si>
    <t>1DT4_Click Count</t>
  </si>
  <si>
    <t>1CL4_1</t>
  </si>
  <si>
    <t>1ES4</t>
  </si>
  <si>
    <t>1MS5</t>
  </si>
  <si>
    <t>1DT5_First Click</t>
  </si>
  <si>
    <t>1DT5_Last Click</t>
  </si>
  <si>
    <t>1DT5_Page Submit</t>
  </si>
  <si>
    <t>1DT5_Click Count</t>
  </si>
  <si>
    <t>1CL5_1</t>
  </si>
  <si>
    <t>1ES5</t>
  </si>
  <si>
    <t>1MS6</t>
  </si>
  <si>
    <t>1DT6_First Click</t>
  </si>
  <si>
    <t>1DT6_Last Click</t>
  </si>
  <si>
    <t>1DT6_Page Submit</t>
  </si>
  <si>
    <t>1DT6_Click Count</t>
  </si>
  <si>
    <t>1CL6_1</t>
  </si>
  <si>
    <t>1ES6</t>
  </si>
  <si>
    <t>1MS7</t>
  </si>
  <si>
    <t>1DT7_First Click</t>
  </si>
  <si>
    <t>1DT7_Last Click</t>
  </si>
  <si>
    <t>1DT7_Page Submit</t>
  </si>
  <si>
    <t>1DT7_Click Count</t>
  </si>
  <si>
    <t>1CL7_1</t>
  </si>
  <si>
    <t>1ES7</t>
  </si>
  <si>
    <t>1MS8</t>
  </si>
  <si>
    <t>1DT8_First Click</t>
  </si>
  <si>
    <t>1DT8_Last Click</t>
  </si>
  <si>
    <t>1DT8_Page Submit</t>
  </si>
  <si>
    <t>1DT8_Click Count</t>
  </si>
  <si>
    <t>1CL8_1</t>
  </si>
  <si>
    <t>1ES8</t>
  </si>
  <si>
    <t>Do you think Table A and Table B are union-able?</t>
  </si>
  <si>
    <t>Timing - First Click</t>
  </si>
  <si>
    <t>Timing - Last Click</t>
  </si>
  <si>
    <t>Timing - Page Submit</t>
  </si>
  <si>
    <t>Timing - Click Count</t>
  </si>
  <si>
    <t>On a scale from 0 to 100, how confident are you in your answer to the previous question? - Confidence Level</t>
  </si>
  <si>
    <t>Please provide a brief explanation to support your answer.</t>
  </si>
  <si>
    <t>Are the data types of the attributes in Table A and Table B similar and from the same domain?
Note: Check if each table's data types match and come from similar sources for any of the columns in the tables above.</t>
  </si>
  <si>
    <t>Do the attributes in Table A and Table B semantically represent the same concept?</t>
  </si>
  <si>
    <t>Is there a significant overlap in the values of the attributes in Table A and Table B?</t>
  </si>
  <si>
    <t>Do the attributes in Table A and Table B represent values from the same set?
Note: Consider if attributes from both tables draw values from the same data set.</t>
  </si>
  <si>
    <t>When considering synonyms, do the attributes in Table A and Table B describe similar data?</t>
  </si>
  <si>
    <t>Can Table A and Table B be combined under a common schema?
Note: Schema establishes relationships between tables, specifying how different tables are related to each other through keys, such as primary keys and foreign keys</t>
  </si>
  <si>
    <t>If Table A and Table B are union-ed, will the resulting dataset maintain consistency and coherence in terms of data types, semantics, and structure?
Note: Evaluate if combining the tables would keep a clear and consistent dataset.</t>
  </si>
  <si>
    <t>{"ImportId":"QID273"}</t>
  </si>
  <si>
    <t>{"ImportId":"QID274_FIRST_CLICK"}</t>
  </si>
  <si>
    <t>{"ImportId":"QID274_LAST_CLICK"}</t>
  </si>
  <si>
    <t>{"ImportId":"QID274_PAGE_SUBMIT"}</t>
  </si>
  <si>
    <t>{"ImportId":"QID274_CLICK_COUNT"}</t>
  </si>
  <si>
    <t>{"ImportId":"QID275_1"}</t>
  </si>
  <si>
    <t>{"ImportId":"QID276_TEXT"}</t>
  </si>
  <si>
    <t>{"ImportId":"QID148"}</t>
  </si>
  <si>
    <t>{"ImportId":"QID149_FIRST_CLICK"}</t>
  </si>
  <si>
    <t>{"ImportId":"QID149_LAST_CLICK"}</t>
  </si>
  <si>
    <t>{"ImportId":"QID149_PAGE_SUBMIT"}</t>
  </si>
  <si>
    <t>{"ImportId":"QID149_CLICK_COUNT"}</t>
  </si>
  <si>
    <t>{"ImportId":"QID150_1"}</t>
  </si>
  <si>
    <t>{"ImportId":"QID151_TEXT"}</t>
  </si>
  <si>
    <t>{"ImportId":"QID152"}</t>
  </si>
  <si>
    <t>{"ImportId":"QID153_FIRST_CLICK"}</t>
  </si>
  <si>
    <t>{"ImportId":"QID153_LAST_CLICK"}</t>
  </si>
  <si>
    <t>{"ImportId":"QID153_PAGE_SUBMIT"}</t>
  </si>
  <si>
    <t>{"ImportId":"QID153_CLICK_COUNT"}</t>
  </si>
  <si>
    <t>{"ImportId":"QID154_1"}</t>
  </si>
  <si>
    <t>{"ImportId":"QID155_TEXT"}</t>
  </si>
  <si>
    <t>{"ImportId":"QID156"}</t>
  </si>
  <si>
    <t>{"ImportId":"QID157_FIRST_CLICK"}</t>
  </si>
  <si>
    <t>{"ImportId":"QID157_LAST_CLICK"}</t>
  </si>
  <si>
    <t>{"ImportId":"QID157_PAGE_SUBMIT"}</t>
  </si>
  <si>
    <t>{"ImportId":"QID157_CLICK_COUNT"}</t>
  </si>
  <si>
    <t>{"ImportId":"QID158_1"}</t>
  </si>
  <si>
    <t>{"ImportId":"QID159_TEXT"}</t>
  </si>
  <si>
    <t>{"ImportId":"QID160"}</t>
  </si>
  <si>
    <t>{"ImportId":"QID161_FIRST_CLICK"}</t>
  </si>
  <si>
    <t>{"ImportId":"QID161_LAST_CLICK"}</t>
  </si>
  <si>
    <t>{"ImportId":"QID161_PAGE_SUBMIT"}</t>
  </si>
  <si>
    <t>{"ImportId":"QID161_CLICK_COUNT"}</t>
  </si>
  <si>
    <t>{"ImportId":"QID162_1"}</t>
  </si>
  <si>
    <t>{"ImportId":"QID163_TEXT"}</t>
  </si>
  <si>
    <t>{"ImportId":"QID164"}</t>
  </si>
  <si>
    <t>{"ImportId":"QID165_FIRST_CLICK"}</t>
  </si>
  <si>
    <t>{"ImportId":"QID165_LAST_CLICK"}</t>
  </si>
  <si>
    <t>{"ImportId":"QID165_PAGE_SUBMIT"}</t>
  </si>
  <si>
    <t>{"ImportId":"QID165_CLICK_COUNT"}</t>
  </si>
  <si>
    <t>{"ImportId":"QID166_1"}</t>
  </si>
  <si>
    <t>{"ImportId":"QID167_TEXT"}</t>
  </si>
  <si>
    <t>{"ImportId":"QID168"}</t>
  </si>
  <si>
    <t>{"ImportId":"QID169_FIRST_CLICK"}</t>
  </si>
  <si>
    <t>{"ImportId":"QID169_LAST_CLICK"}</t>
  </si>
  <si>
    <t>{"ImportId":"QID169_PAGE_SUBMIT"}</t>
  </si>
  <si>
    <t>{"ImportId":"QID169_CLICK_COUNT"}</t>
  </si>
  <si>
    <t>{"ImportId":"QID170_1"}</t>
  </si>
  <si>
    <t>{"ImportId":"QID171_TEXT"}</t>
  </si>
  <si>
    <t>{"ImportId":"QID172"}</t>
  </si>
  <si>
    <t>{"ImportId":"QID173_FIRST_CLICK"}</t>
  </si>
  <si>
    <t>{"ImportId":"QID173_LAST_CLICK"}</t>
  </si>
  <si>
    <t>{"ImportId":"QID173_PAGE_SUBMIT"}</t>
  </si>
  <si>
    <t>{"ImportId":"QID173_CLICK_COUNT"}</t>
  </si>
  <si>
    <t>{"ImportId":"QID174_1"}</t>
  </si>
  <si>
    <t>{"ImportId":"QID175_TEXT"}</t>
  </si>
  <si>
    <t>Yes</t>
  </si>
  <si>
    <t>Both tables have 5 rows and 3 columns, meaning that both tables have 5 records and 3 attributes. Also, there's only one data type present in each table (string/text). Given that both tables have the same number of attributes and the same data type, both tables can be unioned at both the row level and the column level.</t>
  </si>
  <si>
    <t>Column 1 in table A is similar to column 3 of table B as they are both text and from the same domain (political affiliation). The same can be said for column 3 of table A and column 2 of table B. Both text and the names of people.</t>
  </si>
  <si>
    <t>No</t>
  </si>
  <si>
    <t>Table A gives the names of players, where they play and in which league. Table B gives more detailed information on things like training</t>
  </si>
  <si>
    <t>There doesn't seem to be any overlap. Table A gives different computer hardware, what they're used for and how they transmit information. Table B gives different OS's and how you interact with them</t>
  </si>
  <si>
    <t>It looks like Table A shows ways to reduce environmental impacts on water while Table B seems to show ways that air and water can be used to reduce carbon emissions</t>
  </si>
  <si>
    <t xml:space="preserve">Column 2 of table A gives a way to validate whether the content of column 1 s present or not. Column 2 of table B on the other hand tells us what phenomenon the content of column 1 describes </t>
  </si>
  <si>
    <t>If by "combined" you mean that both tables can be joined together, then yes both tables can be combined since the only data type is text. So a schema that includes VARCHAR(30) and a column with unique values as the primary key should do it</t>
  </si>
  <si>
    <t>The question is hard to answer because I don't know if we're joining the tables on axis 0 (rows) or axis 1 (columns). If we are joining the tables on axis 0, then the dataset will maintain its clarity. However, joining the tables on axis 1 is possible but we lose the semantic meaning</t>
  </si>
  <si>
    <t>Pretty sure you can union anything</t>
  </si>
  <si>
    <t>Looks like you can do a join on party and name</t>
  </si>
  <si>
    <t>Not sure what semantic means but seems to be different data from the same concept</t>
  </si>
  <si>
    <t>No attribute overlap</t>
  </si>
  <si>
    <t>Dataset looks to have all the same attributes</t>
  </si>
  <si>
    <t>Data looks similar but not identical (similar attributes but not exactly the same)</t>
  </si>
  <si>
    <t>Time period, religion, figure</t>
  </si>
  <si>
    <t>Would be difficult to establish what belongs to what dataset, and it would be mixed</t>
  </si>
  <si>
    <t>The two tables have same number of columns and from what I gathered, same datatypes</t>
  </si>
  <si>
    <t xml:space="preserve">I guess if we can load the hashmap of countries and cities, then it is possible </t>
  </si>
  <si>
    <t>There is no moderate</t>
  </si>
  <si>
    <t xml:space="preserve">Without a knowledge base, no similarity </t>
  </si>
  <si>
    <t>Yes, if environment is one of the primary importance</t>
  </si>
  <si>
    <t>What kind of dictionary to compare synonyms (depends on that)</t>
  </si>
  <si>
    <t>No, there is no significant distinction of any columns to build without a proper knowledge base</t>
  </si>
  <si>
    <t>Cl</t>
  </si>
  <si>
    <t>Same number of columns, but the data types are somewhat different and in different orders</t>
  </si>
  <si>
    <t>The name and part data matches, but I am not sure what the question is actually asking</t>
  </si>
  <si>
    <t>They both have data for sports, but they each have different aspects of sports</t>
  </si>
  <si>
    <t>there is no overlap</t>
  </si>
  <si>
    <t>Some columns have the same data but the rows dont match</t>
  </si>
  <si>
    <t>A is general scientific concepts, while B is concepts specific to quantum physics</t>
  </si>
  <si>
    <t>I dont know how you would make the schema, but all tables could be placed into one schema if we want to</t>
  </si>
  <si>
    <t>The tables arent clear to me even before they are unioned</t>
  </si>
  <si>
    <t xml:space="preserve">The columns have the same info just different column headers and order. The second table can still be appended to the first table. </t>
  </si>
  <si>
    <t xml:space="preserve">Table A has political parties while table B has political ideologies. Both tables do however have names. </t>
  </si>
  <si>
    <t>Both tables seem to have sports data in them.</t>
  </si>
  <si>
    <t xml:space="preserve">Table A has more technical items while table B has operating systems and applications. </t>
  </si>
  <si>
    <t>The tables have the same headers but it does not seem like the data in the table match another or the column names.</t>
  </si>
  <si>
    <t>Table B goes into way more depth while table A is more high level</t>
  </si>
  <si>
    <t xml:space="preserve">Not entire sure due to missing column headers but it the data in the tables seem unrelated </t>
  </si>
  <si>
    <t xml:space="preserve">The column names are different so the data is assumed to be different. </t>
  </si>
  <si>
    <t>Yes, table A and table B can be unioned because both do have same number of columns. That is the minimum requirement for union operations. The column names don't have to match as long as data types are compatible. Although these are for different things-"Country Name" in the table A and "City Names" in the table B, they can still be unioned because they appear to both contain text data. Thus, while it will technically union, it may not make much contextual sense without more adjustments.</t>
  </si>
  <si>
    <t>No, the data types of the attributes in Table A and Table B are not all similar; neither do they constantly come from the same domain. While both would have text-based attributes for names, they are dissimilar for other columns: years are found in Table A, while political categories and an additional column indicating levels, such as high, low are found in Table B. All of this means their data structure and domains are misaligned, and so no consistent match can be achieved.</t>
  </si>
  <si>
    <t>No, Table A and Table B's properties represent different concepts in a semantic sense. Players, venues, and leagues are all included in Table A, which characterizes the data to particularly address sports events and organizations. However, Table B includes equipment, seasons, practices, and drills that describe elements of the sport itself, such as training, gameplay, or another activity. Although the broad meaning of both tables is related to sports, their focus and goal are distinct, which makes their semantic characteristics highly different.</t>
  </si>
  <si>
    <t xml:space="preserve"> there is little coincidence between the values of the properties in Tables A and B. Although there are technology-related terms in both tables, they were categorized differently, therefore there are no shared parts.</t>
  </si>
  <si>
    <t>Because attributes of table A and B are same</t>
  </si>
  <si>
    <t>Because table A and B focuses on different concepts within scientific disciplines.</t>
  </si>
  <si>
    <t>There is no clear relationship or common key that would easily allow for schema unification through primary and foreign keys.</t>
  </si>
  <si>
    <t>Table A focuses on words, synonyms, and associated actions, while Table B covers emotions, processes, and beliefs. Union-ing these tables would result in a dataset that lacks a coherent structure and consistent semantics, leading to potential issues with data interpretation and coherence.</t>
  </si>
  <si>
    <t>We have continent&amp;language in the 2nd table, which exist in the 1st one. Just add a column of city.</t>
  </si>
  <si>
    <t>Each table has human name and party name, only difference is year and level&amp;type.</t>
  </si>
  <si>
    <t>No column in same</t>
  </si>
  <si>
    <t>No same column, no overlap.</t>
  </si>
  <si>
    <t>All three columns are same, while the values are not</t>
  </si>
  <si>
    <t>These two tables are similar but not same, similar column names</t>
  </si>
  <si>
    <t xml:space="preserve">Seems no foreign key can be related between the two tables </t>
  </si>
  <si>
    <t xml:space="preserve">Not sure, because I donâ€™t think they can be combined </t>
  </si>
  <si>
    <t>The table on the left is as granular as country name while the one on the right has city names. You could potentially use those to determine the country and union on that if there are not duplicate city names in the set.</t>
  </si>
  <si>
    <t>The name and party columns seem to be the same data type and same domain.</t>
  </si>
  <si>
    <t>The left one represents individual players while the other is at a higher level of absraction.</t>
  </si>
  <si>
    <t>They appear to represent different things and have no values that are the same.</t>
  </si>
  <si>
    <t>Same column names and some overlapping values</t>
  </si>
  <si>
    <t>Similar column names, but different granualities for one of the columns.</t>
  </si>
  <si>
    <t>I do not see common columns. Tables seem to cover different topics</t>
  </si>
  <si>
    <t>They can each keep their own data types and there are no common columns causing confusion.</t>
  </si>
  <si>
    <t xml:space="preserve">Honestly not entirely sure. I think they are unionable. </t>
  </si>
  <si>
    <t>I physically saw matching ones</t>
  </si>
  <si>
    <t>Not really the same</t>
  </si>
  <si>
    <t>No overlap</t>
  </si>
  <si>
    <t xml:space="preserve">Not entirely sure, there were a few similar ones and few non similar ones. </t>
  </si>
  <si>
    <t>Most of the bottom table seemed like physics</t>
  </si>
  <si>
    <t>Not the same thing</t>
  </si>
  <si>
    <t>The tables dont make sense</t>
  </si>
  <si>
    <t>If all the column names would have been same, it would be easy for making the union operation easier. But Table B consists additional information than what is there in Table A. Hence, I think that for one to make a union table between them, there would be some computations &amp; changes made which makes it difficult. That's reason I think that it is No.</t>
  </si>
  <si>
    <t>I feel that because the names are quite similar in both the tables. Additionally, there are 2 words that caught my eye, which are Republic &amp; Democratic, these 2 words are present in both the tables. Hence, they must have come from the same database and have a same domain.</t>
  </si>
  <si>
    <t>As I observe both the tables, I can conclude that attributes in Table A &amp; B semantically don't represent the same concept though I guess its related to sports. Table A consists of names of the players, the venues and the leagues whereas Table B has the equipment's used by the players, season, pratices, drills, etc. That is why I think they don't represent the same concept.</t>
  </si>
  <si>
    <t>I don't see any significant overlap between the values of the attributes because Table A has information related to processors, programming &amp; bluetooth but Table b has content regarding Windows, Word &amp; 6-cell which are quite different from one another.</t>
  </si>
  <si>
    <t>I think that the attributes in Table A &amp; Table B represent values from the same dataset because the topic being discussed is related to environment, air &amp; water in both the cases.</t>
  </si>
  <si>
    <t>I feel that Table B has scientific names that are synonyms of the words in Table A.</t>
  </si>
  <si>
    <t>Here, I don't think neither of the tables have a primary key or foreign key paired from another table. Hence, Table A &amp; Table B cannot be combined under a common schema.</t>
  </si>
  <si>
    <t>Because all of them are words, I think consistency can be maintained.</t>
  </si>
  <si>
    <t>Going off of the columns given, I can say that they, at the very least, aren't "easily" unionable.</t>
  </si>
  <si>
    <t>Saw consistent names, parties, and column names.</t>
  </si>
  <si>
    <t>The information is all about the same 5 sports. But as I type, I recall their focuses were on different things. I don't know if that should affect my answer.</t>
  </si>
  <si>
    <t>One was talking about OS stuff and the other was more hardware/software components.</t>
  </si>
  <si>
    <t>Same column names. Although, it is possibly that the refer to completely different things.</t>
  </si>
  <si>
    <t>2nd one was just on quantum things</t>
  </si>
  <si>
    <t>One is about gods and the other on philosophers.</t>
  </si>
  <si>
    <t>One is on mythical creatures and the other emotions. There would need to be a very large, all-encompassing topic to warrant this many different data types.</t>
  </si>
  <si>
    <t>2MS1</t>
  </si>
  <si>
    <t>2DT1_First Click</t>
  </si>
  <si>
    <t>2DT1_Last Click</t>
  </si>
  <si>
    <t>2DT1_Page Submit</t>
  </si>
  <si>
    <t>2DT1_Click Count</t>
  </si>
  <si>
    <t>2CL1_1</t>
  </si>
  <si>
    <t>2ES1</t>
  </si>
  <si>
    <t>2MS2</t>
  </si>
  <si>
    <t>2DT2_First Click</t>
  </si>
  <si>
    <t>2DT2_Last Click</t>
  </si>
  <si>
    <t>2DT2_Page Submit</t>
  </si>
  <si>
    <t>2DT2_Click Count</t>
  </si>
  <si>
    <t>2CL2_1</t>
  </si>
  <si>
    <t>2ES2</t>
  </si>
  <si>
    <t>2MS3</t>
  </si>
  <si>
    <t>2DT3_First Click</t>
  </si>
  <si>
    <t>2DT3_Last Click</t>
  </si>
  <si>
    <t>2DT3_Page Submit</t>
  </si>
  <si>
    <t>2DT3_Click Count</t>
  </si>
  <si>
    <t>2CL3_1</t>
  </si>
  <si>
    <t>2ES3</t>
  </si>
  <si>
    <t>2MS4</t>
  </si>
  <si>
    <t>2DT4_First Click</t>
  </si>
  <si>
    <t>2DT4_Last Click</t>
  </si>
  <si>
    <t>2DT4_Page Submit</t>
  </si>
  <si>
    <t>2DT4_Click Count</t>
  </si>
  <si>
    <t>2CL4_1</t>
  </si>
  <si>
    <t>2ES4</t>
  </si>
  <si>
    <t>2MS5</t>
  </si>
  <si>
    <t>2DT5_First Click</t>
  </si>
  <si>
    <t>2DT5_Last Click</t>
  </si>
  <si>
    <t>2DT5_Page Submit</t>
  </si>
  <si>
    <t>2DT5_Click Count</t>
  </si>
  <si>
    <t>2CL5_1</t>
  </si>
  <si>
    <t>2ES5</t>
  </si>
  <si>
    <t>2MS6</t>
  </si>
  <si>
    <t>2DT6_First Click</t>
  </si>
  <si>
    <t>2DT6_Last Click</t>
  </si>
  <si>
    <t>2DT6_Page Submit</t>
  </si>
  <si>
    <t>2DT6_Click Count</t>
  </si>
  <si>
    <t>2CL6_1</t>
  </si>
  <si>
    <t>2ES6</t>
  </si>
  <si>
    <t>2MS7</t>
  </si>
  <si>
    <t>2DT7_First Click</t>
  </si>
  <si>
    <t>2DT7_Last Click</t>
  </si>
  <si>
    <t>2DT7_Page Submit</t>
  </si>
  <si>
    <t>2DT7_Click Count</t>
  </si>
  <si>
    <t>2CL7_1</t>
  </si>
  <si>
    <t>2ES7</t>
  </si>
  <si>
    <t>2MS8</t>
  </si>
  <si>
    <t>2DT8_First Click</t>
  </si>
  <si>
    <t>2DT8_Last Click</t>
  </si>
  <si>
    <t>2DT8_Page Submit</t>
  </si>
  <si>
    <t>2DT8_Click Count</t>
  </si>
  <si>
    <t>2CL8_1</t>
  </si>
  <si>
    <t>2ES8</t>
  </si>
  <si>
    <t>Are the data types of the attributes in Table A and Table B similar and from the same domain?
Note: Check if each table's data types match and come from similar sources for any of the columns in the tables above.</t>
  </si>
  <si>
    <t>Can the attributes in Table A and Table B be grouped under a common category or classification?</t>
  </si>
  <si>
    <t>Are the attributes in Table A and Table B part of a hierarchical relationship?
Note: Determine if both tablesâ€™ attributes fit into a parent-child relationship.</t>
  </si>
  <si>
    <t>If the attributes from Table A and Table B were mapped, would they belong to the same or related entity?
Note: Think about whether attributes in both tables describe the same or linked entities.</t>
  </si>
  <si>
    <t>Do the attributes across Table A and Table B have sufficient overlap for a meaningful union?</t>
  </si>
  <si>
    <t>If Table A and Table B are union-ed, will the resulting dataset maintain consistency and coherence in terms of data types, semantics, and structure?
Note: Evaluate if combining the tables would keep a clear and consistent dataset.</t>
  </si>
  <si>
    <t>{"ImportId":"QID176"}</t>
  </si>
  <si>
    <t>{"ImportId":"QID177_FIRST_CLICK"}</t>
  </si>
  <si>
    <t>{"ImportId":"QID177_LAST_CLICK"}</t>
  </si>
  <si>
    <t>{"ImportId":"QID177_PAGE_SUBMIT"}</t>
  </si>
  <si>
    <t>{"ImportId":"QID177_CLICK_COUNT"}</t>
  </si>
  <si>
    <t>{"ImportId":"QID178_1"}</t>
  </si>
  <si>
    <t>{"ImportId":"QID179_TEXT"}</t>
  </si>
  <si>
    <t>{"ImportId":"QID180"}</t>
  </si>
  <si>
    <t>{"ImportId":"QID181_FIRST_CLICK"}</t>
  </si>
  <si>
    <t>{"ImportId":"QID181_LAST_CLICK"}</t>
  </si>
  <si>
    <t>{"ImportId":"QID181_PAGE_SUBMIT"}</t>
  </si>
  <si>
    <t>{"ImportId":"QID181_CLICK_COUNT"}</t>
  </si>
  <si>
    <t>{"ImportId":"QID182_1"}</t>
  </si>
  <si>
    <t>{"ImportId":"QID183_TEXT"}</t>
  </si>
  <si>
    <t>{"ImportId":"QID184"}</t>
  </si>
  <si>
    <t>{"ImportId":"QID185_FIRST_CLICK"}</t>
  </si>
  <si>
    <t>{"ImportId":"QID185_LAST_CLICK"}</t>
  </si>
  <si>
    <t>{"ImportId":"QID185_PAGE_SUBMIT"}</t>
  </si>
  <si>
    <t>{"ImportId":"QID185_CLICK_COUNT"}</t>
  </si>
  <si>
    <t>{"ImportId":"QID186_1"}</t>
  </si>
  <si>
    <t>{"ImportId":"QID187_TEXT"}</t>
  </si>
  <si>
    <t>{"ImportId":"QID188"}</t>
  </si>
  <si>
    <t>{"ImportId":"QID189_FIRST_CLICK"}</t>
  </si>
  <si>
    <t>{"ImportId":"QID189_LAST_CLICK"}</t>
  </si>
  <si>
    <t>{"ImportId":"QID189_PAGE_SUBMIT"}</t>
  </si>
  <si>
    <t>{"ImportId":"QID189_CLICK_COUNT"}</t>
  </si>
  <si>
    <t>{"ImportId":"QID190_1"}</t>
  </si>
  <si>
    <t>{"ImportId":"QID191_TEXT"}</t>
  </si>
  <si>
    <t>{"ImportId":"QID192"}</t>
  </si>
  <si>
    <t>{"ImportId":"QID193_FIRST_CLICK"}</t>
  </si>
  <si>
    <t>{"ImportId":"QID193_LAST_CLICK"}</t>
  </si>
  <si>
    <t>{"ImportId":"QID193_PAGE_SUBMIT"}</t>
  </si>
  <si>
    <t>{"ImportId":"QID193_CLICK_COUNT"}</t>
  </si>
  <si>
    <t>{"ImportId":"QID194_1"}</t>
  </si>
  <si>
    <t>{"ImportId":"QID195_TEXT"}</t>
  </si>
  <si>
    <t>{"ImportId":"QID196"}</t>
  </si>
  <si>
    <t>{"ImportId":"QID197_FIRST_CLICK"}</t>
  </si>
  <si>
    <t>{"ImportId":"QID197_LAST_CLICK"}</t>
  </si>
  <si>
    <t>{"ImportId":"QID197_PAGE_SUBMIT"}</t>
  </si>
  <si>
    <t>{"ImportId":"QID197_CLICK_COUNT"}</t>
  </si>
  <si>
    <t>{"ImportId":"QID198_1"}</t>
  </si>
  <si>
    <t>{"ImportId":"QID199_TEXT"}</t>
  </si>
  <si>
    <t>{"ImportId":"QID200"}</t>
  </si>
  <si>
    <t>{"ImportId":"QID201_FIRST_CLICK"}</t>
  </si>
  <si>
    <t>{"ImportId":"QID201_LAST_CLICK"}</t>
  </si>
  <si>
    <t>{"ImportId":"QID201_PAGE_SUBMIT"}</t>
  </si>
  <si>
    <t>{"ImportId":"QID201_CLICK_COUNT"}</t>
  </si>
  <si>
    <t>{"ImportId":"QID202_1"}</t>
  </si>
  <si>
    <t>{"ImportId":"QID203_TEXT"}</t>
  </si>
  <si>
    <t>{"ImportId":"QID204"}</t>
  </si>
  <si>
    <t>{"ImportId":"QID205_FIRST_CLICK"}</t>
  </si>
  <si>
    <t>{"ImportId":"QID205_LAST_CLICK"}</t>
  </si>
  <si>
    <t>{"ImportId":"QID205_PAGE_SUBMIT"}</t>
  </si>
  <si>
    <t>{"ImportId":"QID205_CLICK_COUNT"}</t>
  </si>
  <si>
    <t>{"ImportId":"QID206_1"}</t>
  </si>
  <si>
    <t>{"ImportId":"QID207_TEXT"}</t>
  </si>
  <si>
    <t>They each have the same number of variables. The data types between similar columns are the same, also the similar columns are aligned in their locations in each table (i.e., "Title" in A is first col, "Alt Title" in B is also first col, etc.).</t>
  </si>
  <si>
    <t>All cols seemed to have compatible data types. All cols contained string values and seemed categorical. Both first cols also seemed to contain data from the same or similar source, as did the third columns. However, I guess that data in the second columns did not come from the same source.</t>
  </si>
  <si>
    <t>Not entirely sure what this question was asking - but both tables contained historical or broadly philosophical information.</t>
  </si>
  <si>
    <t>One could argue there is a significant overlap conceptually, since both tables appeared to contain data related to sports. In terms of the actual content of the tables, only the first columns which both contained names of people (as far as I could tell) overlapped. None of the other columns seemed to overlap much.</t>
  </si>
  <si>
    <t>There does not seem to be a clear hierarchical relationship (parent-child) between these tables, as neither table provides a uniquely broader or more detailed view of the data in the other.</t>
  </si>
  <si>
    <t>The variables suggest both tables represent related entities - individuals in different professions.</t>
  </si>
  <si>
    <t>Both tables had variables for literary devices (alliteration, metaphor, etc.). Both tables also had variables for what I think are types or categories (genres?) of poetry. I would guess that these tables could be joined on one or both of these columns.</t>
  </si>
  <si>
    <t>There does not seem to be any logical relationship between the rows of A and B. A merge would likely result in an incoherent table.</t>
  </si>
  <si>
    <t>There are no such common attribute to join it with</t>
  </si>
  <si>
    <t>The first column had similar attributes</t>
  </si>
  <si>
    <t>Again no such common attribute</t>
  </si>
  <si>
    <t>I think it depends on how specific you are willing to be because table b had more specific information but if you're willing to lose that small amount of data to perform a union then i think it would be able to be unioned</t>
  </si>
  <si>
    <t xml:space="preserve">They seem to be very similar, i think column 1 is a category, column 2 seems to be some type of natural ocurrence </t>
  </si>
  <si>
    <t>i think the 3rd column could have some overlap to make you able to union them</t>
  </si>
  <si>
    <t>I think trying to find similarities between each of those is stretching it too much and your data may not be accurate</t>
  </si>
  <si>
    <t xml:space="preserve">the party and the ideology are hierarchal </t>
  </si>
  <si>
    <t>I think they are linked because it seems the first 2 columns are equivalent metrics</t>
  </si>
  <si>
    <t>i think there was a very clear answer, there already was some overlap between columns</t>
  </si>
  <si>
    <t>you would be losing the key values that set those apart</t>
  </si>
  <si>
    <t>because the right table supported full forms and was more precise rather than left table who just said rock</t>
  </si>
  <si>
    <t>its just contents are paraphrased</t>
  </si>
  <si>
    <t>I feel like no because they are 2 differs context table</t>
  </si>
  <si>
    <t>the both are just different tables so no point having overlaps</t>
  </si>
  <si>
    <t>yes they fit as some elements in table can be an elarabarated definition of a elements for b</t>
  </si>
  <si>
    <t>2 diffrent fields</t>
  </si>
  <si>
    <t>first table is more of a emotion based where b is somethings else</t>
  </si>
  <si>
    <t>ya elements can be attributes of first</t>
  </si>
  <si>
    <t>they don' have any common columns</t>
  </si>
  <si>
    <t xml:space="preserve">I think in both table is related to science </t>
  </si>
  <si>
    <t>as both table dont have common column we cannot goup under comman column</t>
  </si>
  <si>
    <t xml:space="preserve">there is no overlapping </t>
  </si>
  <si>
    <t>As both party and leader column which can indicate they might have parent children relationship</t>
  </si>
  <si>
    <t>3 rd column values in table contains tex and table b contains numbers</t>
  </si>
  <si>
    <t>1 and 3 from table A and 1 and 2 from table b is similar</t>
  </si>
  <si>
    <t>as there are no common column in which they combine so i think output dataset will not be consistent</t>
  </si>
  <si>
    <t>I think that both table refer to the same rows of data (the second table can be appended to the attributes of table 1 and it both would refer to the same samples)</t>
  </si>
  <si>
    <t xml:space="preserve">It seems to me that both tables are related and are from the same domain, but without any documentation or context it is hard for me to tell which domain. </t>
  </si>
  <si>
    <t>The philosphers in the second table are from different ages. For example Platon is from the ancient world. In the first table there are different ages, which to my understanding correspond to the ages where the different philosophers lived.</t>
  </si>
  <si>
    <t xml:space="preserve">Altogh both refer refer to sports, I don't think there is enough relatoinship between the tables. </t>
  </si>
  <si>
    <t xml:space="preserve">The first tables refers to the parties. The second table refers to politicians within the party, so it is a parent-child relationship. </t>
  </si>
  <si>
    <t>The entity is the diffent people, and both tables referes to professions.</t>
  </si>
  <si>
    <t xml:space="preserve">Both tables talk about different attributes related to poems. </t>
  </si>
  <si>
    <t>All the features are in text format, altough in the first table there are multiple words for each attribute.</t>
  </si>
  <si>
    <t>No, Table A and Table B arenâ€™t union-able because their columns donâ€™t match up. For two tables to be union-able, they need to have the exact same number of columns with the same names.   In Table A, the columns are Title, Artist(s), and Genre, while in Table B, theyâ€™re Alternative Title, Additional Artist, and Genre Diversify. Since the names and even some of the meanings are different, we canâ€™t directly combine them in a union.</t>
  </si>
  <si>
    <t>Yes, the data types in Table A and Table B look similar because theyâ€™re all just words or phrases, not numbers or anything different. Both tables also seem to cover topics related to the environmentâ€”things like energy, animals, and plants. So, theyâ€™re likely from the same field or subject area, making them compatible in terms of data type and topic.</t>
  </si>
  <si>
    <t>Yes, the attributes in Table A and Table B can be grouped under a common category or classification.  Both tables have themes related to history, philosophy, and culture. Table A covers historical ages, mythological gods, and philosophical actions, while Table B includes famous philosophers, religions, and philosophical processes. Even though the specifics are different, they all fall under the broader category of cultural, philosophical, and historical studies.</t>
  </si>
  <si>
    <t>Yes, there is a significant overlap in the values of the attributes in Table A and Table B.  Both tables contain terms related to sports, seasons, and types of equipment. For example, "Fall, Winter" appears in both tables as seasons, and sports-related terms like "Field," "Court," and types of actions (like "Drive," "Dunk," and "Tackle") are also present. This overlap shows that they share a common theme around sports and seasons, even though they have different specific details.</t>
  </si>
  <si>
    <t>Yes, the attributes in Table A and Table B fit into a hierarchical (parent-child) relationship.  Table A has information on Party, Year, and Leader. Table B provides additional details about each leader, including Ideology, Party, and Popularity. This creates a relationship where Table A can be seen as a "parent" with general information about each leader and their party, while Table B acts as a "child" with more specific details (like ideology and popularity) about each leader listed in Table A.</t>
  </si>
  <si>
    <t>Table A lists different professions with traits or qualities (like "Analytical" or "Empathetic"), while Table B has different professions with some kind of numerical values that could be scores or ratings. The professions in each table donâ€™t match, and thereâ€™s no clear link between the traits in Table A and the numbers in Table B. They appear to be separate lists with no direct connection.</t>
  </si>
  <si>
    <t>Both tables contain terms related to poetry and literary devices, like "Free Verse," "Blank Verse," "Metaphor," and "Alliteration." These shared terms indicate that the tables are within the same literary domain, which could make combining them meaningful if youâ€™re looking to compile a list of poetic forms, devices, and related concepts. However, they each have unique terms as well, which would add variety to the combined data.</t>
  </si>
  <si>
    <t>No, combining Table A and Table B would not maintain a consistent and coherent dataset.  Table A focuses on cultural values, food, and music, while Table B contains art movements, craft traditions, and political ideologies. Although both tables relate to cultural elements, their categories are quite different and donâ€™t follow the same structure. Table A is more about general lifestyle aspects, whereas Table B is about specific artistic and ideological categories. Merging them would mix unrelated fields, making the dataset confusing and inconsistent.</t>
  </si>
  <si>
    <t>Tables share key information (title, artist, genre) between each other. Data cleaning will have to be done afterwards, but they are joinable</t>
  </si>
  <si>
    <t>Some more information would be helpful; however, the middle column between each table looks similar to be covering the same content. Therefore, these table should be joinable in some aspect</t>
  </si>
  <si>
    <t>Seems like something can be drawn from the table in regards to Religion. Table A is definitely a bit smaller in scope tho</t>
  </si>
  <si>
    <t>There is some overlap with the sport and the information about the sport in the second table; however, this can only be seen with additional information not in the tables directly</t>
  </si>
  <si>
    <t>Table B has the same individuals as Table A with more information</t>
  </si>
  <si>
    <t>Different; Table A is jobs while Table B is majors</t>
  </si>
  <si>
    <t>They have the same topic (poetry), but there doesn't seem to be anything to provide a meaning union between the tables</t>
  </si>
  <si>
    <t>There doesn't seem to be any overlap between the tables in regards to the data involved</t>
  </si>
  <si>
    <t>Because the two tables look union.</t>
  </si>
  <si>
    <t>They are definitely not of the same domain.</t>
  </si>
  <si>
    <t>Yes, the ways of classification are the same.</t>
  </si>
  <si>
    <t>There's no obvious overlap.</t>
  </si>
  <si>
    <t>There might be hierarchical relationship, since the year, and high, low, moderate......</t>
  </si>
  <si>
    <t>Consider them as matrices, the two matrices have the same size.</t>
  </si>
  <si>
    <t>There's no obvious overlap based on my view.</t>
  </si>
  <si>
    <t>Yes. Consider them as two matrices, at least they have the same size.</t>
  </si>
  <si>
    <t>The data types of the attributes in Table A and Table B are indeed similar and come from the same domain. Both tables focus on environmental elements, energy, and related technologies, indicating a consistent theme across the attributes.</t>
  </si>
  <si>
    <t>The data types of the attributes in Table A and Table B are indeed similar and come from the same domain.</t>
  </si>
  <si>
    <t>There is no significant overlap in the values of the attributes between Table A and Table B. The tables represent different aspects of sports, with Table A focusing on players and leagues, while Table B focuses on equipment, seasons, actions, and activities.</t>
  </si>
  <si>
    <t>No, the attributes in Table A and Table B are not part of a hierarchical relationship.  A hierarchical relationship implies a parent-child structure, where one set of attributes (parent) contains broader categories that encompass another set of attributes (child). In this case, the attributes in Table A (Party, Year, Leader) and Table B (Ideology, Leader, Party, Popularity) represent distinct dimensions of information about elections, with no clear parent-child relationship between them.</t>
  </si>
  <si>
    <t>No, the attributes from Table A and Table B would not belong to the same or related entity.  Table A seems to describe individuals, providing information about their age, profession, and personality trait. Table B appears to describe occupations, providing information about the typical age, salary range, and stress level associated with certain professions</t>
  </si>
  <si>
    <t>The attributes across Table A and Table B do not have sufficient overlap for a meaningful union.  Table A contains terms related to poetic devices and forms, while Table B includes terms related to the structure and rhythm of poetry. Although there is some overlap, such as "Ballad" and "Free Verse," which appear in both tables, the majority of the terms are distinct and unrelated.</t>
  </si>
  <si>
    <t>The attributes in Table A and Table B do not have sufficient overlap for a meaningful union.  Table A contains terms related to poetic devices and forms, while Table B includes terms related to the structure and rhythm of poetry. Although there is some overlap, such as "Ballad" and "Free Verse," which appear in both tables, the majority of the terms are distinct and unrelated.</t>
  </si>
  <si>
    <t>There were no similar fields for union.</t>
  </si>
  <si>
    <t>It felt like the third column varied drastically.</t>
  </si>
  <si>
    <t>Since the point of Table A were Actions and Table B were processes, i dont think it can be merged.</t>
  </si>
  <si>
    <t>Table A &amp; Table B varies drastically</t>
  </si>
  <si>
    <t>Yes both Table fit into a parent-child relationship. As both the tables contained the party names, this attribute can be considered as foreign key to the parents primary key.</t>
  </si>
  <si>
    <t>The third columns in both tables have different values, one is string the other is an integer hence it cannot be mapped.</t>
  </si>
  <si>
    <t>I think there can be union considering the 3rd column in Table A &amp; 1st column in Table B seems to be similar.</t>
  </si>
  <si>
    <t>Since the number of rows are similar I believe they will work.</t>
  </si>
  <si>
    <t>Email</t>
  </si>
  <si>
    <t>{"ImportId":"Email"}</t>
  </si>
  <si>
    <t>3MS1</t>
  </si>
  <si>
    <t>3DT1_First Click</t>
  </si>
  <si>
    <t>3DT1_Last Click</t>
  </si>
  <si>
    <t>3DT1_Page Submit</t>
  </si>
  <si>
    <t>3DT1_Click Count</t>
  </si>
  <si>
    <t>3CL1_1</t>
  </si>
  <si>
    <t>3ES1</t>
  </si>
  <si>
    <t>3MS2</t>
  </si>
  <si>
    <t>3DT2_First Click</t>
  </si>
  <si>
    <t>3DT2_Last Click</t>
  </si>
  <si>
    <t>3DT2_Page Submit</t>
  </si>
  <si>
    <t>3DT2_Click Count</t>
  </si>
  <si>
    <t>3CL2_1</t>
  </si>
  <si>
    <t>3ES2</t>
  </si>
  <si>
    <t>3MS3</t>
  </si>
  <si>
    <t>3DT3_First Click</t>
  </si>
  <si>
    <t>3DT3_Last Click</t>
  </si>
  <si>
    <t>3DT3_Page Submit</t>
  </si>
  <si>
    <t>3DT3_Click Count</t>
  </si>
  <si>
    <t>3CL3_1</t>
  </si>
  <si>
    <t>3ES3</t>
  </si>
  <si>
    <t>3MS4</t>
  </si>
  <si>
    <t>3DT4_First Click</t>
  </si>
  <si>
    <t>3DT4_Last Click</t>
  </si>
  <si>
    <t>3DT4_Page Submit</t>
  </si>
  <si>
    <t>3DT4_Click Count</t>
  </si>
  <si>
    <t>3CL4_1</t>
  </si>
  <si>
    <t>3ES4</t>
  </si>
  <si>
    <t>3MS5</t>
  </si>
  <si>
    <t>3DT5_First Click</t>
  </si>
  <si>
    <t>3DT5_Last Click</t>
  </si>
  <si>
    <t>3DT5_Page Submit</t>
  </si>
  <si>
    <t>3DT5_Click Count</t>
  </si>
  <si>
    <t>3CL5_1</t>
  </si>
  <si>
    <t>3ES5</t>
  </si>
  <si>
    <t>3MS6</t>
  </si>
  <si>
    <t>3DT6_First Click</t>
  </si>
  <si>
    <t>3DT6_Last Click</t>
  </si>
  <si>
    <t>3DT6_Page Submit</t>
  </si>
  <si>
    <t>3DT6_Click Count</t>
  </si>
  <si>
    <t>3CL6_1</t>
  </si>
  <si>
    <t>3ES6</t>
  </si>
  <si>
    <t>3MS7</t>
  </si>
  <si>
    <t>3DT7_First Click</t>
  </si>
  <si>
    <t>3DT7_Last Click</t>
  </si>
  <si>
    <t>3DT7_Page Submit</t>
  </si>
  <si>
    <t>3DT7_Click Count</t>
  </si>
  <si>
    <t>3CL7_1</t>
  </si>
  <si>
    <t>3ES7</t>
  </si>
  <si>
    <t>3MS8</t>
  </si>
  <si>
    <t>3DT8_First Click</t>
  </si>
  <si>
    <t>3DT8_Last Click</t>
  </si>
  <si>
    <t>3DT8_Page Submit</t>
  </si>
  <si>
    <t>3DT8_Click Count</t>
  </si>
  <si>
    <t>3CL8_1</t>
  </si>
  <si>
    <t>3ES8</t>
  </si>
  <si>
    <t>Do the attributes in Table A and Table B represent values from the same set?
Note: Consider if attributes from both tables draw values from the same data set.</t>
  </si>
  <si>
    <t>Can Table A and Table B be combined under a common schema?
Note: Schema establishes relationships between tables, specifying how different tables are related to each other through keys, such as primary keys and foreign keys.</t>
  </si>
  <si>
    <t>{"ImportId":"QID208"}</t>
  </si>
  <si>
    <t>{"ImportId":"QID209_FIRST_CLICK"}</t>
  </si>
  <si>
    <t>{"ImportId":"QID209_LAST_CLICK"}</t>
  </si>
  <si>
    <t>{"ImportId":"QID209_PAGE_SUBMIT"}</t>
  </si>
  <si>
    <t>{"ImportId":"QID209_CLICK_COUNT"}</t>
  </si>
  <si>
    <t>{"ImportId":"QID210_1"}</t>
  </si>
  <si>
    <t>{"ImportId":"QID211_TEXT"}</t>
  </si>
  <si>
    <t>{"ImportId":"QID212"}</t>
  </si>
  <si>
    <t>{"ImportId":"QID213_FIRST_CLICK"}</t>
  </si>
  <si>
    <t>{"ImportId":"QID213_LAST_CLICK"}</t>
  </si>
  <si>
    <t>{"ImportId":"QID213_PAGE_SUBMIT"}</t>
  </si>
  <si>
    <t>{"ImportId":"QID213_CLICK_COUNT"}</t>
  </si>
  <si>
    <t>{"ImportId":"QID214_1"}</t>
  </si>
  <si>
    <t>{"ImportId":"QID215_TEXT"}</t>
  </si>
  <si>
    <t>{"ImportId":"QID216"}</t>
  </si>
  <si>
    <t>{"ImportId":"QID217_FIRST_CLICK"}</t>
  </si>
  <si>
    <t>{"ImportId":"QID217_LAST_CLICK"}</t>
  </si>
  <si>
    <t>{"ImportId":"QID217_PAGE_SUBMIT"}</t>
  </si>
  <si>
    <t>{"ImportId":"QID217_CLICK_COUNT"}</t>
  </si>
  <si>
    <t>{"ImportId":"QID218_1"}</t>
  </si>
  <si>
    <t>{"ImportId":"QID219_TEXT"}</t>
  </si>
  <si>
    <t>{"ImportId":"QID220"}</t>
  </si>
  <si>
    <t>{"ImportId":"QID221_FIRST_CLICK"}</t>
  </si>
  <si>
    <t>{"ImportId":"QID221_LAST_CLICK"}</t>
  </si>
  <si>
    <t>{"ImportId":"QID221_PAGE_SUBMIT"}</t>
  </si>
  <si>
    <t>{"ImportId":"QID221_CLICK_COUNT"}</t>
  </si>
  <si>
    <t>{"ImportId":"QID222_1"}</t>
  </si>
  <si>
    <t>{"ImportId":"QID223_TEXT"}</t>
  </si>
  <si>
    <t>{"ImportId":"QID224"}</t>
  </si>
  <si>
    <t>{"ImportId":"QID225_FIRST_CLICK"}</t>
  </si>
  <si>
    <t>{"ImportId":"QID225_LAST_CLICK"}</t>
  </si>
  <si>
    <t>{"ImportId":"QID225_PAGE_SUBMIT"}</t>
  </si>
  <si>
    <t>{"ImportId":"QID225_CLICK_COUNT"}</t>
  </si>
  <si>
    <t>{"ImportId":"QID226_1"}</t>
  </si>
  <si>
    <t>{"ImportId":"QID227_TEXT"}</t>
  </si>
  <si>
    <t>{"ImportId":"QID228"}</t>
  </si>
  <si>
    <t>{"ImportId":"QID229_FIRST_CLICK"}</t>
  </si>
  <si>
    <t>{"ImportId":"QID229_LAST_CLICK"}</t>
  </si>
  <si>
    <t>{"ImportId":"QID229_PAGE_SUBMIT"}</t>
  </si>
  <si>
    <t>{"ImportId":"QID229_CLICK_COUNT"}</t>
  </si>
  <si>
    <t>{"ImportId":"QID230_1"}</t>
  </si>
  <si>
    <t>{"ImportId":"QID231_TEXT"}</t>
  </si>
  <si>
    <t>{"ImportId":"QID232"}</t>
  </si>
  <si>
    <t>{"ImportId":"QID233_FIRST_CLICK"}</t>
  </si>
  <si>
    <t>{"ImportId":"QID233_LAST_CLICK"}</t>
  </si>
  <si>
    <t>{"ImportId":"QID233_PAGE_SUBMIT"}</t>
  </si>
  <si>
    <t>{"ImportId":"QID233_CLICK_COUNT"}</t>
  </si>
  <si>
    <t>{"ImportId":"QID234_1"}</t>
  </si>
  <si>
    <t>{"ImportId":"QID235_TEXT"}</t>
  </si>
  <si>
    <t>{"ImportId":"QID236"}</t>
  </si>
  <si>
    <t>{"ImportId":"QID237_FIRST_CLICK"}</t>
  </si>
  <si>
    <t>{"ImportId":"QID237_LAST_CLICK"}</t>
  </si>
  <si>
    <t>{"ImportId":"QID237_PAGE_SUBMIT"}</t>
  </si>
  <si>
    <t>{"ImportId":"QID237_CLICK_COUNT"}</t>
  </si>
  <si>
    <t>{"ImportId":"QID238_1"}</t>
  </si>
  <si>
    <t>{"ImportId":"QID239_TEXT"}</t>
  </si>
  <si>
    <t>The tables could be unioned if the order of some of the columns was swapped</t>
  </si>
  <si>
    <t>The granularity of the third column is different in either table, the second column is semantically the same but has a different name</t>
  </si>
  <si>
    <t>There is probably a common label you could come up with for either table, I cant think of one</t>
  </si>
  <si>
    <t>They both follow a similar format of environment, pollution type, solution type</t>
  </si>
  <si>
    <t>Table A is more generalized and contains less information than table B</t>
  </si>
  <si>
    <t>The categories are different - in one, the column is music, in the other, its an ideology</t>
  </si>
  <si>
    <t>Tables A and B cannot be union because they have different structures and incompatible data. table A lists countries and their languages, while table B lists cities and their languages. will this mismatch can prevents a union</t>
  </si>
  <si>
    <t>Because the two tables does not represent the same concepts. And the attributes are also different.</t>
  </si>
  <si>
    <t>The attributes in Table A and Table B can be grouped under a common category or classification as they represent related conceptual themes despite the specific details being different.</t>
  </si>
  <si>
    <t>The tables may have a similar structure and contain corresponding conceptual elements, but the specific attributes in each table are distinct and do not appear to taken from the same data.</t>
  </si>
  <si>
    <t>The attributes in Table A and Table B describe similar concepts even though the specific words are different. the tables have same structures may of the words in each row seems to related to each other.</t>
  </si>
  <si>
    <t>because the tables have similar structures with corresponding elements across the rows</t>
  </si>
  <si>
    <t>Tables A and B cannot be combined under a common schema  because they contain different categories of information with no clear overlap in any purpose.</t>
  </si>
  <si>
    <t>Tables A and B have different domains and with no direct connection and it will also make difficult to combine them.</t>
  </si>
  <si>
    <t xml:space="preserve">There are words from different categories </t>
  </si>
  <si>
    <t>attributes seems to be expressing the same concept</t>
  </si>
  <si>
    <t>They both following the same trend</t>
  </si>
  <si>
    <t>I don't think they are related</t>
  </si>
  <si>
    <t>I don't get what's going on here no more</t>
  </si>
  <si>
    <t>B could be the son of A</t>
  </si>
  <si>
    <t>They look completely random</t>
  </si>
  <si>
    <t xml:space="preserve">Maybe god and religion </t>
  </si>
  <si>
    <t xml:space="preserve">There should be at least one matching column. </t>
  </si>
  <si>
    <t>The control didn't look justifiable in second table.</t>
  </si>
  <si>
    <t>There is nothing common on two tables</t>
  </si>
  <si>
    <t>maybe but not sure, can describe the same thing, however the order does not look arranged</t>
  </si>
  <si>
    <t>column names are same, and the data also looks same.</t>
  </si>
  <si>
    <t>to become a parent child, one table must contain all the values in another table</t>
  </si>
  <si>
    <t>yes because both of the table columns have only one type of data and it has no relation with another column.</t>
  </si>
  <si>
    <t>yes both of them are historical data, can be from the same heirarchy.</t>
  </si>
  <si>
    <t xml:space="preserve">since both the tables have same columns (Continent, countries, languages) the tables are union able </t>
  </si>
  <si>
    <t>Except for the last column where the concept is given, the two tables are the same. The concept in 1st table is generic classification and in 2nd is based on deeper classification (Quantum physics)</t>
  </si>
  <si>
    <t>They are different as they both give different meanings when all 3 columns are considered together.</t>
  </si>
  <si>
    <t>they have 2 same columns but the data in them do not fit in as parent-child relationship</t>
  </si>
  <si>
    <t xml:space="preserve">Found no similarities in the data </t>
  </si>
  <si>
    <t>They represent city</t>
  </si>
  <si>
    <t>As the tables are of different concept</t>
  </si>
  <si>
    <t>As table b is emotions it cannot do so</t>
  </si>
  <si>
    <t>Both table represent different things</t>
  </si>
  <si>
    <t>Just tables are shuffeled</t>
  </si>
  <si>
    <t>No match in the table length hence no</t>
  </si>
  <si>
    <t>Same contect</t>
  </si>
  <si>
    <t>Both indicate same attribute</t>
  </si>
  <si>
    <t>There are several overlapping values between both tables, even with different axis across both tables.</t>
  </si>
  <si>
    <t>Table A provides overview of several concepts vs several concepts in the same discipline.</t>
  </si>
  <si>
    <t>all columns could be attributed to the first column in Table A</t>
  </si>
  <si>
    <t>They both seem to be associated with the column "Word"</t>
  </si>
  <si>
    <t>The words in "Environment" column and column names seem to be used to form words related to both topics.</t>
  </si>
  <si>
    <t>The data seems to be a flat structure of individuals and various characteristics.</t>
  </si>
  <si>
    <t>A structure of individuals and their traits seems to fit for both tables</t>
  </si>
  <si>
    <t>They seem to have a common structure of representing some sort of ideology or nation with various characteristics</t>
  </si>
  <si>
    <t>Seems like 2 columns from each table overlap (continent and language)</t>
  </si>
  <si>
    <t>Tables have same structure, where second table is specific to physics and the concepts are related to sub-divisions of quantum physics</t>
  </si>
  <si>
    <t>They seem different</t>
  </si>
  <si>
    <t>Possible they are from the same dataset pulling different attributes</t>
  </si>
  <si>
    <t>Seems to be descriptive data not hierarchical</t>
  </si>
  <si>
    <t>no keys to join</t>
  </si>
  <si>
    <t>I think of union as stacking two tables</t>
  </si>
  <si>
    <t>They both have the same number of columns so they can be unioned</t>
  </si>
  <si>
    <t>They are the same topics by column but one is just more in depth</t>
  </si>
  <si>
    <t>Under on classification no the tables cannot but under around 4 classifications most likely</t>
  </si>
  <si>
    <t>Each row from left to right make sense within themselves when put together in the same context</t>
  </si>
  <si>
    <t>Some rows have the same values or similar</t>
  </si>
  <si>
    <t xml:space="preserve">They are just listed data points with no order of hierarchy because there are repeats and not next to eachother </t>
  </si>
  <si>
    <t>The columns seem to be relevant towards another and a schema can have any sort of values no matter what relation</t>
  </si>
  <si>
    <t>It would be helpful to see those relations</t>
  </si>
  <si>
    <t>columns in both tables have the same meaning</t>
  </si>
  <si>
    <t xml:space="preserve">tables seem to have the same symantic </t>
  </si>
  <si>
    <t>different columns, nothing in common</t>
  </si>
  <si>
    <t xml:space="preserve">no common column </t>
  </si>
  <si>
    <t>4MS1</t>
  </si>
  <si>
    <t>4DT1_First Click</t>
  </si>
  <si>
    <t>4DT1_Last Click</t>
  </si>
  <si>
    <t>4DT1_Page Submit</t>
  </si>
  <si>
    <t>4DT1_Click Count</t>
  </si>
  <si>
    <t>4CL1_1</t>
  </si>
  <si>
    <t>4ES1</t>
  </si>
  <si>
    <t>4MS2</t>
  </si>
  <si>
    <t>4DT2_First Click</t>
  </si>
  <si>
    <t>4DT2_Last Click</t>
  </si>
  <si>
    <t>4DT2_Page Submit</t>
  </si>
  <si>
    <t>4DT2_Click Count</t>
  </si>
  <si>
    <t>4CL2_1</t>
  </si>
  <si>
    <t>4ES2</t>
  </si>
  <si>
    <t>4MS3</t>
  </si>
  <si>
    <t>4DT3_First Click</t>
  </si>
  <si>
    <t>4DT3_Last Click</t>
  </si>
  <si>
    <t>4DT3_Page Submit</t>
  </si>
  <si>
    <t>4DT3_Click Count</t>
  </si>
  <si>
    <t>4CL3_1</t>
  </si>
  <si>
    <t>4ES3</t>
  </si>
  <si>
    <t>4MS4</t>
  </si>
  <si>
    <t>4DT4_First Click</t>
  </si>
  <si>
    <t>4DT4_Last Click</t>
  </si>
  <si>
    <t>4DT4_Page Submit</t>
  </si>
  <si>
    <t>4DT4_Click Count</t>
  </si>
  <si>
    <t>4CL4_1</t>
  </si>
  <si>
    <t>4ES4</t>
  </si>
  <si>
    <t>4MS5</t>
  </si>
  <si>
    <t>4DT5_First Click</t>
  </si>
  <si>
    <t>4DT5_Last Click</t>
  </si>
  <si>
    <t>4DT5_Page Submit</t>
  </si>
  <si>
    <t>4DT5_Click Count</t>
  </si>
  <si>
    <t>4CL5_1</t>
  </si>
  <si>
    <t>4ES5</t>
  </si>
  <si>
    <t>4MS6</t>
  </si>
  <si>
    <t>4DT6_First Click</t>
  </si>
  <si>
    <t>4DT6_Last Click</t>
  </si>
  <si>
    <t>4DT6_Page Submit</t>
  </si>
  <si>
    <t>4DT6_Click Count</t>
  </si>
  <si>
    <t>4CL6_1</t>
  </si>
  <si>
    <t>4ES6</t>
  </si>
  <si>
    <t>4MS7</t>
  </si>
  <si>
    <t>4DT7_First Click</t>
  </si>
  <si>
    <t>4DT7_Last Click</t>
  </si>
  <si>
    <t>4DT7_Page Submit</t>
  </si>
  <si>
    <t>4DT7_Click Count</t>
  </si>
  <si>
    <t>4CL7_1</t>
  </si>
  <si>
    <t>4ES7</t>
  </si>
  <si>
    <t>4MS8</t>
  </si>
  <si>
    <t>4DT8_First Click</t>
  </si>
  <si>
    <t>4DT8_Last Click</t>
  </si>
  <si>
    <t>4DT8_Page Submit</t>
  </si>
  <si>
    <t>4DT8_Click Count</t>
  </si>
  <si>
    <t>4CL8_1</t>
  </si>
  <si>
    <t>4ES8</t>
  </si>
  <si>
    <t>Do you think Table A and Table B are union-able?
Note: Check if each table's data types match and come from similar sources for any of the columns in the tables above.</t>
  </si>
  <si>
    <t>Are the data types of the attributes in Table A and Table B similar and from the same domain?</t>
  </si>
  <si>
    <t>Do the attributes in Table A and Table B represent values from the same set?
Note: Consider if attributes from both tables draw values from the same data set.</t>
  </si>
  <si>
    <t>{"ImportId":"QID240"}</t>
  </si>
  <si>
    <t>{"ImportId":"QID241_FIRST_CLICK"}</t>
  </si>
  <si>
    <t>{"ImportId":"QID241_LAST_CLICK"}</t>
  </si>
  <si>
    <t>{"ImportId":"QID241_PAGE_SUBMIT"}</t>
  </si>
  <si>
    <t>{"ImportId":"QID241_CLICK_COUNT"}</t>
  </si>
  <si>
    <t>{"ImportId":"QID242_1"}</t>
  </si>
  <si>
    <t>{"ImportId":"QID243_TEXT"}</t>
  </si>
  <si>
    <t>{"ImportId":"QID272"}</t>
  </si>
  <si>
    <t>{"ImportId":"QID245_FIRST_CLICK"}</t>
  </si>
  <si>
    <t>{"ImportId":"QID245_LAST_CLICK"}</t>
  </si>
  <si>
    <t>{"ImportId":"QID245_PAGE_SUBMIT"}</t>
  </si>
  <si>
    <t>{"ImportId":"QID245_CLICK_COUNT"}</t>
  </si>
  <si>
    <t>{"ImportId":"QID246_1"}</t>
  </si>
  <si>
    <t>{"ImportId":"QID247_TEXT"}</t>
  </si>
  <si>
    <t>{"ImportId":"QID248"}</t>
  </si>
  <si>
    <t>{"ImportId":"QID249_FIRST_CLICK"}</t>
  </si>
  <si>
    <t>{"ImportId":"QID249_LAST_CLICK"}</t>
  </si>
  <si>
    <t>{"ImportId":"QID249_PAGE_SUBMIT"}</t>
  </si>
  <si>
    <t>{"ImportId":"QID249_CLICK_COUNT"}</t>
  </si>
  <si>
    <t>{"ImportId":"QID250_1"}</t>
  </si>
  <si>
    <t>{"ImportId":"QID251_TEXT"}</t>
  </si>
  <si>
    <t>{"ImportId":"QID252"}</t>
  </si>
  <si>
    <t>{"ImportId":"QID253_FIRST_CLICK"}</t>
  </si>
  <si>
    <t>{"ImportId":"QID253_LAST_CLICK"}</t>
  </si>
  <si>
    <t>{"ImportId":"QID253_PAGE_SUBMIT"}</t>
  </si>
  <si>
    <t>{"ImportId":"QID253_CLICK_COUNT"}</t>
  </si>
  <si>
    <t>{"ImportId":"QID254_1"}</t>
  </si>
  <si>
    <t>{"ImportId":"QID255_TEXT"}</t>
  </si>
  <si>
    <t>{"ImportId":"QID256"}</t>
  </si>
  <si>
    <t>{"ImportId":"QID257_FIRST_CLICK"}</t>
  </si>
  <si>
    <t>{"ImportId":"QID257_LAST_CLICK"}</t>
  </si>
  <si>
    <t>{"ImportId":"QID257_PAGE_SUBMIT"}</t>
  </si>
  <si>
    <t>{"ImportId":"QID257_CLICK_COUNT"}</t>
  </si>
  <si>
    <t>{"ImportId":"QID258_1"}</t>
  </si>
  <si>
    <t>{"ImportId":"QID259_TEXT"}</t>
  </si>
  <si>
    <t>{"ImportId":"QID260"}</t>
  </si>
  <si>
    <t>{"ImportId":"QID261_FIRST_CLICK"}</t>
  </si>
  <si>
    <t>{"ImportId":"QID261_LAST_CLICK"}</t>
  </si>
  <si>
    <t>{"ImportId":"QID261_PAGE_SUBMIT"}</t>
  </si>
  <si>
    <t>{"ImportId":"QID261_CLICK_COUNT"}</t>
  </si>
  <si>
    <t>{"ImportId":"QID262_1"}</t>
  </si>
  <si>
    <t>{"ImportId":"QID263_TEXT"}</t>
  </si>
  <si>
    <t>{"ImportId":"QID264"}</t>
  </si>
  <si>
    <t>{"ImportId":"QID265_FIRST_CLICK"}</t>
  </si>
  <si>
    <t>{"ImportId":"QID265_LAST_CLICK"}</t>
  </si>
  <si>
    <t>{"ImportId":"QID265_PAGE_SUBMIT"}</t>
  </si>
  <si>
    <t>{"ImportId":"QID265_CLICK_COUNT"}</t>
  </si>
  <si>
    <t>{"ImportId":"QID266_1"}</t>
  </si>
  <si>
    <t>{"ImportId":"QID267_TEXT"}</t>
  </si>
  <si>
    <t>{"ImportId":"QID268"}</t>
  </si>
  <si>
    <t>{"ImportId":"QID269_FIRST_CLICK"}</t>
  </si>
  <si>
    <t>{"ImportId":"QID269_LAST_CLICK"}</t>
  </si>
  <si>
    <t>{"ImportId":"QID269_PAGE_SUBMIT"}</t>
  </si>
  <si>
    <t>{"ImportId":"QID269_CLICK_COUNT"}</t>
  </si>
  <si>
    <t>{"ImportId":"QID270_1"}</t>
  </si>
  <si>
    <t>{"ImportId":"QID271_TEXT"}</t>
  </si>
  <si>
    <t>In table a, the 3rd column seemed to focus on the purpose of the element listed (e.g. "focus on change") while the same column in table b seemed to list other elements within that field (e.g. I thought I remembered seeing "visualization" or something similar)</t>
  </si>
  <si>
    <t>The type of information that both of the tables contain is similar, but they have different fields (which makes them slightly different generally)</t>
  </si>
  <si>
    <t>Both tables contain information related to computers, so they are similar in that way, but are very different in the sense that one table's information is about hardware while the other contains information about software</t>
  </si>
  <si>
    <t>While the values of both tables represent different fields, they look like they could have come from the same dataset given that they contain related information</t>
  </si>
  <si>
    <t>Both seem to represent different fields in science, with the middle column representing the control group / condition for an experiment within that field</t>
  </si>
  <si>
    <t>Both tables contain similar information in similar fields, so it seems likely that they could be related in some way</t>
  </si>
  <si>
    <t>At first glance, the middle column of the second table might seem to relate the two, but without more information it can't be said that there is enough overlap betweent the two tables to be able to combine them</t>
  </si>
  <si>
    <t>generally, the two tables contain similar information that would make sense to combine into one table, but the second has an additional field. So combining the two tables would result in a lot of blank values in the combined table</t>
  </si>
  <si>
    <t xml:space="preserve">The first column contains the same data type (plaintext) and shares a common 'mathematical field' as the subject. The second columns both share the same data type of list of plaintext and similarly enumerate sub-topics within the respective column one entry for each row. The third column is a plaintext phrase describing the first or second columns. Both of these assumptions hold true for Tables A and B, so natural intuition suggests you could join them together while preserving the logic of both tables. </t>
  </si>
  <si>
    <t>The attributes of tables A and B follow the same plaintext datatype as well as the general idea of politics. An outlier is Table A's 'Year' attribute, which is a discrete integer and potentially relates to politics.</t>
  </si>
  <si>
    <t>The attributes for both tables seem to follow neither rhyme nor reason, however they are related beneath a technical umbrella.</t>
  </si>
  <si>
    <t xml:space="preserve">It is possible that they represent the same values from a set assuming the source set contains a large enumeration of a sports team's data (i.e., a set of players which themselves contain a dearth of associated information within the set). </t>
  </si>
  <si>
    <t>While one could feasibly map them all beneath a scientific entity, Table B's topics are much more granular and focus on a higher theory of learning while Table A's topics are similar to primary education.</t>
  </si>
  <si>
    <t>These tables seem extremely unstructured, but contained related information, so some relationships might be drawn that are not immediately apparent.</t>
  </si>
  <si>
    <t>Table A and Table B seem to be extremely unrelated.</t>
  </si>
  <si>
    <t>The topics of Table A and Table B are related, but the schema from the union would not maintain coherence.</t>
  </si>
  <si>
    <t>They don't seem to have the same data types or topics</t>
  </si>
  <si>
    <t>Party and ideology are dependent (generally speaking) and they have some of the same columns</t>
  </si>
  <si>
    <t>Different topics, one more hardware, one more software</t>
  </si>
  <si>
    <t>Sports?</t>
  </si>
  <si>
    <t>One seemed to be general science, the other seemed to just be physics</t>
  </si>
  <si>
    <t xml:space="preserve">There isn't a common column to be a pk/fk </t>
  </si>
  <si>
    <t>There's no common attributes</t>
  </si>
  <si>
    <t xml:space="preserve">i think there is some problem in datatype may be </t>
  </si>
  <si>
    <t>would likely be No due to differences in attributes (e.g., Year vs. Popularity) and unique attributes like Ideology in Table B.</t>
  </si>
  <si>
    <t>The answer to the question is likely No since there is no significant overlap in the values of the attributes in the two tables.</t>
  </si>
  <si>
    <t>Yes, as the tables represent values from the same broader set (sports data), even though they cover different aspects of it.</t>
  </si>
  <si>
    <t>Yes, because attributes from both tables describe related scientific concepts or entities within similar fields.</t>
  </si>
  <si>
    <t>Yes, because both tables contain environmental and energy-related concepts that can fit into a unified schema.</t>
  </si>
  <si>
    <t>No, because the attributes in Table A and Table B cover different categories (mythical creatures vs. emotions, processes, and beliefs) with minimal overlap for union.</t>
  </si>
  <si>
    <t>No, because the terms in Table A and Table B represent different literary and poetic concepts that vary in type and structure, leading to potential inconsistencies when combined.</t>
  </si>
  <si>
    <t>Not every data type matched. The first two data types matched except the last data types. The last data type of Table A gave a brief a description of the topic and the last data type of Table B provided another topic the first data was found in.</t>
  </si>
  <si>
    <t>Yes, the data types are similar.</t>
  </si>
  <si>
    <t>No, there is not significant overlap at all between the two tables since they both contain various different data.</t>
  </si>
  <si>
    <t>Yes, I believe the data in the two tables all from a set of sport data.</t>
  </si>
  <si>
    <t>There would be multiple entities from this set.</t>
  </si>
  <si>
    <t>Yes, they definitely can all be under the same schema since the data types are related</t>
  </si>
  <si>
    <t>Yes, both tables show words and their definitions.</t>
  </si>
  <si>
    <t>Yes, definitely! The last data type of table A can be joined on the first data type of table B.</t>
  </si>
  <si>
    <t>Both tables contain similar types of information in each of the columns</t>
  </si>
  <si>
    <t>Both tables have the same knowledge domain (politicians) an contain some of the same features</t>
  </si>
  <si>
    <t>Both tables are dealing with different sports and information about each sport, the players, the league, etc</t>
  </si>
  <si>
    <t>Both have information about physics. Some of the entries in the first table are about physics, and the second table is entirely about physics</t>
  </si>
  <si>
    <t>Although the tables contain different information, the columns appear to be conveying the same ideas (environment type effected appears to be one of the features)</t>
  </si>
  <si>
    <t>The tables don't seem to be conveying any of the same information</t>
  </si>
  <si>
    <t>Both tables seem to have features relating to poetry and describing different aspects about poetry</t>
  </si>
  <si>
    <t>their columns do not directly correspond in terms of data type and focus</t>
  </si>
  <si>
    <t>The data types are similar and pertain to the political domain</t>
  </si>
  <si>
    <t xml:space="preserve"> There is no significant overlap in the values of the attributes </t>
  </si>
  <si>
    <t>The attributes in Table A and Table B are related to sports but do not represent values from the same specific data set.</t>
  </si>
  <si>
    <t>The attributes in both tables represent scientific concepts but do not belong to the same or closely related entities.</t>
  </si>
  <si>
    <t>The tables have enough related attributes and shared themes to be combined under a common schema.</t>
  </si>
  <si>
    <t>The attributes in Table A and Table B do not have sufficient overlap for a meaningful union.</t>
  </si>
  <si>
    <t>Combining these tables would create a coherent dataset focused on literary terms, maintaining consistency in both data type and semantics.</t>
  </si>
  <si>
    <t>Some parts of the two tables come from same/similar sources. Like algebra being used in statistics.</t>
  </si>
  <si>
    <t>If we consider all the types, then "popularity" and "year" to me does not really have any relation.</t>
  </si>
  <si>
    <t>Yes, there is significant overlap due to all of them being either parts of a computer, or programs.</t>
  </si>
  <si>
    <t>Something like "seasons" does not seem like it would fit, but I am uncertain of this answer.</t>
  </si>
  <si>
    <t>Mostly they do. Although "Medicine" seem like a bit of an outlier.</t>
  </si>
  <si>
    <t>They have a lot of similarities, and the ones that are not the exact same are heavily related from what I gathered. Like "Ice" and "Land" can be heavily related.</t>
  </si>
  <si>
    <t>They do not seem very related. I could see how they connect with mythos, or something similar, but overall they are not related enough to me.</t>
  </si>
  <si>
    <t>The part of the data that seems the furthests is the middle column of data A, but even they relate in my eyes through arts.</t>
  </si>
  <si>
    <t>I am slightly confused by this question, but I believe that those 2 tables are able to be unified as they relate to one another in a specific sense.</t>
  </si>
  <si>
    <t>The two tables are very related and contain some of the same information. Table 2 contains more specific information, but they are still very related.</t>
  </si>
  <si>
    <t>These tables seem to only be related by the fact that they're talking about the field of technology. Other than that, there doesn't seem to be a connection.</t>
  </si>
  <si>
    <t>Although the rows don't fully align, the information from table A and B are related where table A is describing specific players, and table B is describing what those sports entail.</t>
  </si>
  <si>
    <t>They are describing two very different topics/fields of study.</t>
  </si>
  <si>
    <t>There are 3 columns in each table, where they match the corresponding columns in the other table.</t>
  </si>
  <si>
    <t>One table is describing creatures and their actions, and the other is describing feelings and their connotations.</t>
  </si>
  <si>
    <t>There is a single column in each table that matches, so I believe the union would connect the corresponding columns in each.</t>
  </si>
  <si>
    <t xml:space="preserve">Since they are coming from the same data source and also they have the same data types for each column it is safe to say that they are union able. </t>
  </si>
  <si>
    <t xml:space="preserve">In both the columns the columns are different. for example year column is not present in table B which has a data type of data time. Hence we can say that the data types so not match completely. </t>
  </si>
  <si>
    <t xml:space="preserve">table A shows us the Processor, programming and the Bluetooth type where as table B shows us the OS, app and battery type of the PC.  </t>
  </si>
  <si>
    <t xml:space="preserve">Since the values are drawn from the same data source we can join these tables column wise and make them into a single one. </t>
  </si>
  <si>
    <t xml:space="preserve">Both the tables are describing the same things like notable discoveries or theories in the world on science. </t>
  </si>
  <si>
    <t>We can use the first column as primary key to join the tables and connect them under a single schema</t>
  </si>
  <si>
    <t xml:space="preserve">Both the tables have values which are not at all related to each other. </t>
  </si>
  <si>
    <t xml:space="preserve">I am not so sure about this answer but, I think this wont be consistent. </t>
  </si>
  <si>
    <t>1MS1_Ans</t>
  </si>
  <si>
    <t>1MS2_Ans</t>
  </si>
  <si>
    <t>1MS3_Ans</t>
  </si>
  <si>
    <t>1MS4_Ans</t>
  </si>
  <si>
    <t>1MS5_Ans</t>
  </si>
  <si>
    <t>1MS6_Ans</t>
  </si>
  <si>
    <t>1MS7_Ans</t>
  </si>
  <si>
    <t>1MS8_Ans</t>
  </si>
  <si>
    <t>2MS1_Ans</t>
  </si>
  <si>
    <t>2MS2_Ans</t>
  </si>
  <si>
    <t>2MS3_Ans</t>
  </si>
  <si>
    <t>2MS4_Ans</t>
  </si>
  <si>
    <t>2MS5_Ans</t>
  </si>
  <si>
    <t>2MS6_Ans</t>
  </si>
  <si>
    <t>2MS7_Ans</t>
  </si>
  <si>
    <t>2MS8_Ans</t>
  </si>
  <si>
    <t>3MS1_Ans</t>
  </si>
  <si>
    <t>3MS2_Ans</t>
  </si>
  <si>
    <t>3MS3_Ans</t>
  </si>
  <si>
    <t>3MS4_Ans</t>
  </si>
  <si>
    <t>3MS5_Ans</t>
  </si>
  <si>
    <t>3MS6_Ans</t>
  </si>
  <si>
    <t>3MS7_Ans</t>
  </si>
  <si>
    <t>3MS8_Ans</t>
  </si>
  <si>
    <t>4MS1_Ans</t>
  </si>
  <si>
    <t>4MS2_Ans</t>
  </si>
  <si>
    <t>4MS3_Ans</t>
  </si>
  <si>
    <t>4MS4_Ans</t>
  </si>
  <si>
    <t>4MS5_Ans</t>
  </si>
  <si>
    <t>4MS6_Ans</t>
  </si>
  <si>
    <t>4MS7_Ans</t>
  </si>
  <si>
    <t>4MS8_Ans</t>
  </si>
  <si>
    <t>68.112.233.50</t>
  </si>
  <si>
    <t>R_7QFxInKSWrfU7tv</t>
  </si>
  <si>
    <t>35.149.240.143</t>
  </si>
  <si>
    <t>R_7I6ODdsIWWLmEXV</t>
  </si>
  <si>
    <t>108.26.227.218</t>
  </si>
  <si>
    <t>R_1QhxptRJAkaytWM</t>
  </si>
  <si>
    <t>Bioinformatics and Computation Biology</t>
  </si>
  <si>
    <t>75.130.95.29</t>
  </si>
  <si>
    <t>R_5Zt3w8lOMlAkhlT</t>
  </si>
  <si>
    <t>130.215.210.205</t>
  </si>
  <si>
    <t>R_5syrdbtVC5wF0gL</t>
  </si>
  <si>
    <t>1710x1107</t>
  </si>
  <si>
    <t>Cyber security</t>
  </si>
  <si>
    <t>130.215.219.252</t>
  </si>
  <si>
    <t>R_3kGP4NmDnP0BiVM</t>
  </si>
  <si>
    <t>Bioinformatics and Computational Biology</t>
  </si>
  <si>
    <t>130.215.208.55</t>
  </si>
  <si>
    <t>R_5ELmBczD43rN7wb</t>
  </si>
  <si>
    <t>131.0.0.0</t>
  </si>
  <si>
    <t>1536x718</t>
  </si>
  <si>
    <t>The attributes in Table A and Table B semantically represent the same concept.,There is a significant overlap in the values of the attributes in Table A and Table B.,Table A and Table B can be combined under a common schema.,If Table A and Table B are unioned, the resulting dataset will maintain consistency and coherence in terms of data types, semantics, and structure.</t>
  </si>
  <si>
    <t>The attributes in Table A and Table B represent values from the same set.,Table A and Table B can be combined under a common schema.</t>
  </si>
  <si>
    <t xml:space="preserve">You can look to combine these tables using the continent. I did not realize you could not go back to relook at the table, so unsure of answer. </t>
  </si>
  <si>
    <t>In both tables, the names and what political party they identify with match values.</t>
  </si>
  <si>
    <t>both tables relate to sports and venues, materials, and drills they need.</t>
  </si>
  <si>
    <t>There is no overlap of specific values in both tables.</t>
  </si>
  <si>
    <t>They could come from the same dataset because the column headers are the same, but the values aren't the same in each row. Plants was a common value in both tables but the other values in the same row were different.</t>
  </si>
  <si>
    <t>Yes, because the concept an control attributes describe the same thing. The scientific discipline and quantum theory are similar, but the quantum theory attribute is one level more specific than the scientific discipline.</t>
  </si>
  <si>
    <t>They could be combined based off of name as a primary key. The other columns don't mix but there can be null values in there respective places.</t>
  </si>
  <si>
    <t>They will in semantics and data types, but not structure.</t>
  </si>
  <si>
    <t>Well both had same number of columns and the data type was similar so not exactly sure if that counts</t>
  </si>
  <si>
    <t>Different domains</t>
  </si>
  <si>
    <t>describe distinct domains of information within the broader context of sports</t>
  </si>
  <si>
    <t>I think one is centered on hardware and functionalities and the other on software and batteries.</t>
  </si>
  <si>
    <t>different types of data within scientific context</t>
  </si>
  <si>
    <t>merging the tables would produce a disjointed dataset</t>
  </si>
  <si>
    <t>Okayish</t>
  </si>
  <si>
    <t>Not on the first glace i think it is different</t>
  </si>
  <si>
    <t>yes</t>
  </si>
  <si>
    <t>no</t>
  </si>
  <si>
    <t>different</t>
  </si>
  <si>
    <t>I cant see where the overlap would be</t>
  </si>
  <si>
    <t>They both could be tied to the environment</t>
  </si>
  <si>
    <t>They both seemed to be pulled from some sort of sports data set</t>
  </si>
  <si>
    <t>They do not seem similar enough</t>
  </si>
  <si>
    <t>They both focus on politics</t>
  </si>
  <si>
    <t>Both tables have similar topics both involving math topics</t>
  </si>
  <si>
    <t>While table B has an extra column, the other columns seem similar enough</t>
  </si>
  <si>
    <t>There doesn't seem to be anything linking the tables.</t>
  </si>
  <si>
    <t>The first column in both can be used to link each</t>
  </si>
  <si>
    <t>Could be linked, unsure. The second table is definitely more specialized.</t>
  </si>
  <si>
    <t>They seem to be sports related and could be from the same overall set, but it's unclear</t>
  </si>
  <si>
    <t>The tables seem to be for different things, though both technology based</t>
  </si>
  <si>
    <t>There is overlapping data in terms of party and leader</t>
  </si>
  <si>
    <t>First column for both look like subjects while the others are main points.</t>
  </si>
  <si>
    <t>seems like the columns are different, providing different info</t>
  </si>
  <si>
    <t>no overlap</t>
  </si>
  <si>
    <t>it is stated as below i think?</t>
  </si>
  <si>
    <t>No columns are the same,</t>
  </si>
  <si>
    <t>The columns are the same.</t>
  </si>
  <si>
    <t>not entirely sure but I took the database class so I think I was right?</t>
  </si>
  <si>
    <t>Accuracy</t>
  </si>
  <si>
    <t>FirstClick</t>
  </si>
  <si>
    <t>SurveyVersion</t>
  </si>
  <si>
    <t>QuestionNum</t>
  </si>
  <si>
    <t>LastClick</t>
  </si>
  <si>
    <t>Explanations</t>
  </si>
  <si>
    <t>DecisionTime</t>
  </si>
  <si>
    <t>ClickCount</t>
  </si>
  <si>
    <t>SurveyAnswer</t>
  </si>
  <si>
    <t>ActualAnswer</t>
  </si>
  <si>
    <t>ConfidenceLevel</t>
  </si>
  <si>
    <t>IsExp</t>
  </si>
  <si>
    <t>R_528VGlLhXaisd2L</t>
  </si>
  <si>
    <t>R_5vBl7RvgVSmUKA1</t>
  </si>
  <si>
    <t>35.149.235.52</t>
  </si>
  <si>
    <t>R_5QeE3h8XTnWCNgt</t>
  </si>
  <si>
    <t>The key point is that while both tables store similar types of information (song, artist, genre), the names of their columns are different. This is the core issue in determining whether a standard SQL UNION operation is directly possible. Because the column names are different, a standard SQL UNION would not work directly. You would likely need to use a UNION ALL, or rename the columns to be the same before performing the union. Therefore, the answer is technically no.</t>
  </si>
  <si>
    <t>Since both tables contain textual data and their domains overlap significantly (both relate to environmental and related scientific/engineering concepts), the answer is Yes. The data types are similar (text), and the domains are closely related.</t>
  </si>
  <si>
    <t>The answer is Yes. The attributes in both tables can be grouped under a common category or classification related to philosophy, intellectual history, and abstract ideas.</t>
  </si>
  <si>
    <t>While there's no direct overlap in the values themselves, the domain or overall topic is the same: sports. However, the question asks about overlap in values. Therefore, the answer is No.</t>
  </si>
  <si>
    <t>The attributes in Table A and Table B are related but do not form a strict hierarchical relationship. Therefore, the answer is No.</t>
  </si>
  <si>
    <t>Since both tables describe people with attributes like age and occupation, the attributes, if mapped, would belong to the same entity (a person). Therefore, the answer is Yes.</t>
  </si>
  <si>
    <t>The answer is Yes. The attributes across Table A and Table B have sufficient overlap for a meaningful union.</t>
  </si>
  <si>
    <t>Unioning these tables would not maintain consistency or coherence. The resulting dataset would be a meaningless jumble of unrelated concepts. Therefore, the answer is No.</t>
  </si>
  <si>
    <t>To perform a union operation on two tables (or dataframes), the following conditions must be met:  Same Number of Columns: Both tables must have the same number of columns. Same Column Names: The columns must have the same names in the same order. Compatible Data Types: The data types of corresponding columns must be compatible. In the provided tables:  Table A has three columns: "Continent," "Country," and "Languages." Table B also has three columns but with different names and order: "City," "Languages," and "Continent." Since the column names and their order are different between the two tables, they do not meet the criteria for a union operation.</t>
  </si>
  <si>
    <t>The two tables represent concepts from different scientific domains. Table A includes a variety of concepts across multiple disciplines such as physics, chemistry, biology, earth science, and medicine. In contrast, Table B focuses specifically on concepts within quantum physics.  Hereâ€™s a breakdown of the differences:  Table A:  Includes concepts like Gravity, Acid-Base Reactions, Photosynthesis, Plate Tectonics, and Drug Efficacy. Covers a range of scientific disciplines such as physics, chemistry, biology, earth science, and medicine. Control conditions are general and pertain to a broad range of scientific experiments. Table B:  Focuses on quantum physics concepts like Quantum Interference, Heisenberg Uncertainty Principle, Bell's Theorem, Quantum Computing, and SchrÃ¶dinger's Equation. All concepts fall under the scientific discipline of quantum physics. Control conditions are specific to quantum physics experiments and principles. The semantic representation of concepts in each table pertains to entirely different fields of study, making them not representative of the same concepts.</t>
  </si>
  <si>
    <t>Table A contains mythical creatures (Chimera, Basilisk, Minotaur, Pegasus, Phoenix) along with associated descriptors and abilities. Table B contains abstract concepts and emotions (Joy, Fear, Anger, Sadness, Love) along with associated terms that are more conceptual or thematic in nature. The categories and attributes in each table belong to fundamentally different domains:  Table A is focused on mythological and fantastical entities and their characteristics. Table B is centered around human emotions, states, and abstract ideas. Since the nature of the attributes in each table is different (one being concrete mythical beings and the other being abstract human concepts), they do not fit under a single common category or classification.</t>
  </si>
  <si>
    <t>Table A deals with characteristics and actions related to mythical creatures. The attributes are "Word" (name of the creature), "Synonyms" (alternative names or descriptions), and "Actions" (verbs describing what they do). Table B deals with abstract concepts. The attributes are "Emotions," "Processes" (which seem to be more like locations or fantastical objects), and "Beliefs" (values or principles). While both tables draw from a realm of fantasy and imagination, they represent fundamentally different types of information. Table A is about concrete (albeit fictional) beings and their actions, while Table B is about abstract concepts and feelings. They don't share a common data set or category of information.</t>
  </si>
  <si>
    <t>Both tables categorize information related to the environment and natural phenomena, specifically focusing on the elements of air and water. Although the specific terms used in each table might not be perfect synonyms in the strictest sense, they describe similar concepts within those categories.  "Air" Column: Both tables list phenomena or concepts related to the atmosphere. Table A includes "Melting Glaciers" and "Heat Waves," which are atmospheric effects related to temperature and climate. Table B includes "Tubular Skylights" and "Passive Cooling," which are technologies or design strategies that interact with and utilize air and light. "Water" Column: Both tables list water-related concepts. Table A includes "Natural Lighting" (which can indirectly relate to water through reflections and the water cycle), "Reduce Trash" (which impacts water quality), "Aquaculture" (which is farming in water), and "Dikes" (which are water management structures). Table B includes "Floodplain," "Channelization," "Reefs," and "Flood Planning," all of which directly relate to water bodies, their management, and associated risks.</t>
  </si>
  <si>
    <t>A hierarchical relationship (or parent-child relationship) implies that one attribute is a broader category that encompasses other, more specific attributes. For example, "Animal" is a parent category to "Dog," "Cat," and "Bird."  In the given tables:  Table A primarily lists political affiliations (Democrat, Republican, Independent), years, and names. Table B lists political ideologies (Conservative, Liberal, Progressive), names, political affiliations, and levels (High, Moderate, Low). While there's an overlap in some data (names and political affiliations), neither table's attributes clearly form a parent-child relationship with the other. For instance:  Political affiliation (Democrat, Republican) is not a parent category to political ideology (Conservative, Liberal). A Democrat can be liberal or moderate, and a Republican can be conservative or moderate. There's no strict one-to-many relationship. The "High," "Moderate," and "Low" in Table B seem to refer to some kind of level or intensity, but it's not clear what they are levels of, and they don't fit neatly under any attribute in Table A. Therefore, the attributes in Table A and Table B do not demonstrate a hierarchical relationship. They are related in that they contain information about people and their political leanings, but they are not organized in a parent-child structure.</t>
  </si>
  <si>
    <t>A common schema implies a logical relationship between the data in different tables, allowing them to be meaningfully joined or related. This usually involves shared keys or categories. In these tables, there's no clear, logical connection between the data points.  Table A appears to associate values or principles (like "Equality, freedom") with types of food and music. Table B lists artistic styles, craftwork, and political ideologies. There's no obvious way to link "Equality, freedom" to "Surrealism," or "Tacos, enchiladas" to "Quilting." There's no common category or shared key that could create a meaningful relationship between the tables. They represent distinct and unrelated sets of information. Therefore, they cannot be combined under a single schema.</t>
  </si>
  <si>
    <t>A meaningful union of two tables requires a common attribute or set of attributes that can be used to join the data. In this case:  Table A has attributes: Ages, Gods, and Actions. Table B has attributes: Philosophers, Religion, and Process. There is no direct, shared attribute between the two tables. There's no logical way to link a God to a Philosopher, a time period to a Religion, or an Action to a Process in a way that would create a useful or insightful combined dataset. While one might try to create some tenuous connections (e.g., linking a historical period to a prevalent religion of that time), these would be artificial and wouldn't represent a true overlap of data.  Therefore, there is insufficient overlap for a meaningful union.</t>
  </si>
  <si>
    <t>I Think both tables are union-able because they have the same type of columns for 2 that is continent and language. And the third row is country and city.</t>
  </si>
  <si>
    <t>Both represent mythological or symbolic themes.</t>
  </si>
  <si>
    <t>Table A is mythological creatures and its synonyms where as table B is emotions and all</t>
  </si>
  <si>
    <t>Yes, the attributes in Table A and Table B describe similar data, as both focus on environmental, air, and water-related concepts with overlapping themes and synonyms.</t>
  </si>
  <si>
    <t xml:space="preserve"> Yes, the attributes in Table A and Table B form a hierarchical relationship, with Table B adding ideological and importance-based details to the data in Table A.</t>
  </si>
  <si>
    <t>No, Table A and Table B cannot be combined under a common schema because Table A focuses on cultural themes like food, music, and values, while Table B centers on artistic movements, crafts, and ideologies, making their data fundamentally unrelated</t>
  </si>
  <si>
    <t>No, the attributes across Table A and Table B do not have sufficient overlap for a meaningful union.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</si>
</sst>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xf numFmtId="0" fontId="1" fillId="3" borderId="1" xfId="0" applyFont="1" applyFill="1" applyBorder="1" applyAlignment="1">
      <alignment horizontal="right"/>
    </xf>
    <xf numFmtId="0" fontId="1" fillId="3" borderId="1" xfId="0" applyFont="1" applyFill="1" applyBorder="1" applyAlignment="1">
      <alignment horizontal="right" wrapText="1"/>
    </xf>
    <xf numFmtId="22" fontId="0" fillId="0" borderId="1" xfId="0" applyNumberFormat="1" applyBorder="1" applyAlignment="1">
      <alignment horizontal="right"/>
    </xf>
    <xf numFmtId="0" fontId="0" fillId="0" borderId="1" xfId="0" applyBorder="1" applyAlignment="1">
      <alignment horizontal="right"/>
    </xf>
    <xf numFmtId="0" fontId="1" fillId="2" borderId="1" xfId="0" applyFont="1" applyFill="1" applyBorder="1" applyAlignment="1">
      <alignment horizontal="right"/>
    </xf>
    <xf numFmtId="0" fontId="0" fillId="0" borderId="0" xfId="0" applyAlignment="1">
      <alignment horizontal="right"/>
    </xf>
    <xf numFmtId="0" fontId="2" fillId="0" borderId="0" xfId="0" applyFont="1"/>
    <xf numFmtId="0" fontId="2" fillId="2" borderId="1" xfId="0" applyFont="1" applyFill="1" applyBorder="1"/>
    <xf numFmtId="0" fontId="0" fillId="0" borderId="1" xfId="0" applyBorder="1"/>
    <xf numFmtId="0" fontId="2" fillId="2" borderId="1" xfId="0" applyFont="1" applyFill="1" applyBorder="1" applyAlignment="1">
      <alignment horizontal="center"/>
    </xf>
    <xf numFmtId="0" fontId="0" fillId="0" borderId="1" xfId="0" applyBorder="1" applyAlignment="1">
      <alignment horizontal="center"/>
    </xf>
    <xf numFmtId="0" fontId="2" fillId="2" borderId="1" xfId="0" applyFont="1" applyFill="1" applyBorder="1" applyAlignment="1">
      <alignment horizontal="left"/>
    </xf>
    <xf numFmtId="0" fontId="0" fillId="0" borderId="1" xfId="0" applyBorder="1" applyAlignment="1">
      <alignment horizontal="left"/>
    </xf>
    <xf numFmtId="0" fontId="2" fillId="2" borderId="1" xfId="0" applyFont="1" applyFill="1" applyBorder="1" applyAlignment="1">
      <alignment horizontal="right"/>
    </xf>
    <xf numFmtId="0" fontId="0" fillId="0" borderId="0" xfId="0" applyAlignment="1">
      <alignment horizontal="left"/>
    </xf>
    <xf numFmtId="0" fontId="0" fillId="0" borderId="0" xfId="0" applyAlignment="1">
      <alignment horizontal="center"/>
    </xf>
    <xf numFmtId="0" fontId="0" fillId="0" borderId="1" xfId="0"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FFB75-4EB6-45D2-BEFC-CC456CE6212E}">
  <dimension ref="A1:AE61"/>
  <sheetViews>
    <sheetView topLeftCell="M151" workbookViewId="0">
      <selection activeCell="B63" sqref="B63"/>
    </sheetView>
  </sheetViews>
  <sheetFormatPr defaultRowHeight="14.4" x14ac:dyDescent="0.3"/>
  <cols>
    <col min="1" max="1" width="55.109375" bestFit="1" customWidth="1"/>
    <col min="2" max="2" width="54.44140625" bestFit="1" customWidth="1"/>
    <col min="3" max="3" width="20.21875" bestFit="1" customWidth="1"/>
    <col min="4" max="4" width="24" bestFit="1" customWidth="1"/>
    <col min="5" max="5" width="22.6640625" bestFit="1" customWidth="1"/>
    <col min="6" max="6" width="22.5546875" bestFit="1" customWidth="1"/>
    <col min="7" max="7" width="22.21875" bestFit="1" customWidth="1"/>
    <col min="8" max="8" width="59.44140625" bestFit="1" customWidth="1"/>
    <col min="9" max="9" width="23.44140625" bestFit="1" customWidth="1"/>
    <col min="10" max="10" width="32.44140625" bestFit="1" customWidth="1"/>
    <col min="11" max="11" width="32.77734375" bestFit="1" customWidth="1"/>
    <col min="12" max="12" width="28.21875" bestFit="1" customWidth="1"/>
    <col min="13" max="13" width="36.33203125" bestFit="1" customWidth="1"/>
    <col min="14" max="14" width="29.88671875" bestFit="1" customWidth="1"/>
    <col min="15" max="15" width="31.44140625" bestFit="1" customWidth="1"/>
    <col min="16" max="16" width="33.6640625" bestFit="1" customWidth="1"/>
    <col min="17" max="17" width="27.6640625" bestFit="1" customWidth="1"/>
    <col min="18" max="18" width="32.44140625" bestFit="1" customWidth="1"/>
    <col min="19" max="19" width="38.88671875" bestFit="1" customWidth="1"/>
    <col min="20" max="20" width="38.33203125" bestFit="1" customWidth="1"/>
    <col min="21" max="21" width="47.88671875" bestFit="1" customWidth="1"/>
    <col min="22" max="22" width="41.109375" bestFit="1" customWidth="1"/>
    <col min="23" max="23" width="28.109375" bestFit="1" customWidth="1"/>
    <col min="24" max="24" width="73.6640625" bestFit="1" customWidth="1"/>
    <col min="25" max="25" width="85" bestFit="1" customWidth="1"/>
    <col min="26" max="26" width="50.44140625" bestFit="1" customWidth="1"/>
    <col min="27" max="27" width="42.44140625" bestFit="1" customWidth="1"/>
    <col min="28" max="31" width="255.77734375" bestFit="1" customWidth="1"/>
  </cols>
  <sheetData>
    <row r="1" spans="1:31" s="1" customFormat="1" ht="15.6"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233</v>
      </c>
      <c r="AC1" s="6" t="s">
        <v>234</v>
      </c>
      <c r="AD1" s="6" t="s">
        <v>235</v>
      </c>
      <c r="AE1" s="6" t="s">
        <v>236</v>
      </c>
    </row>
    <row r="2" spans="1:31" s="1" customFormat="1" ht="15.6" x14ac:dyDescent="0.3">
      <c r="A2" s="6" t="s">
        <v>27</v>
      </c>
      <c r="B2" s="6" t="s">
        <v>28</v>
      </c>
      <c r="C2" s="6" t="s">
        <v>29</v>
      </c>
      <c r="D2" s="6" t="s">
        <v>30</v>
      </c>
      <c r="E2" s="6" t="s">
        <v>4</v>
      </c>
      <c r="F2" s="6" t="s">
        <v>5</v>
      </c>
      <c r="G2" s="6" t="s">
        <v>6</v>
      </c>
      <c r="H2" s="6" t="s">
        <v>31</v>
      </c>
      <c r="I2" s="6" t="s">
        <v>32</v>
      </c>
      <c r="J2" s="6" t="s">
        <v>33</v>
      </c>
      <c r="K2" s="6" t="s">
        <v>34</v>
      </c>
      <c r="L2" s="6" t="s">
        <v>35</v>
      </c>
      <c r="M2" s="6" t="s">
        <v>36</v>
      </c>
      <c r="N2" s="6" t="s">
        <v>37</v>
      </c>
      <c r="O2" s="6" t="s">
        <v>38</v>
      </c>
      <c r="P2" s="6" t="s">
        <v>39</v>
      </c>
      <c r="Q2" s="6" t="s">
        <v>40</v>
      </c>
      <c r="R2" s="6" t="s">
        <v>17</v>
      </c>
      <c r="S2" s="6" t="s">
        <v>41</v>
      </c>
      <c r="T2" s="6" t="s">
        <v>42</v>
      </c>
      <c r="U2" s="6" t="s">
        <v>43</v>
      </c>
      <c r="V2" s="6" t="s">
        <v>44</v>
      </c>
      <c r="W2" s="6" t="s">
        <v>45</v>
      </c>
      <c r="X2" s="6" t="s">
        <v>46</v>
      </c>
      <c r="Y2" s="6" t="s">
        <v>47</v>
      </c>
      <c r="Z2" s="6" t="s">
        <v>48</v>
      </c>
      <c r="AA2" s="6" t="s">
        <v>49</v>
      </c>
      <c r="AB2" s="6" t="s">
        <v>237</v>
      </c>
      <c r="AC2" s="6" t="s">
        <v>237</v>
      </c>
      <c r="AD2" s="6" t="s">
        <v>238</v>
      </c>
      <c r="AE2" s="6" t="s">
        <v>237</v>
      </c>
    </row>
    <row r="3" spans="1:31" s="1" customFormat="1" ht="15.6" x14ac:dyDescent="0.3">
      <c r="A3" s="6" t="s">
        <v>50</v>
      </c>
      <c r="B3" s="6" t="s">
        <v>51</v>
      </c>
      <c r="C3" s="6" t="s">
        <v>52</v>
      </c>
      <c r="D3" s="6" t="s">
        <v>53</v>
      </c>
      <c r="E3" s="6" t="s">
        <v>54</v>
      </c>
      <c r="F3" s="6" t="s">
        <v>55</v>
      </c>
      <c r="G3" s="6" t="s">
        <v>56</v>
      </c>
      <c r="H3" s="6" t="s">
        <v>57</v>
      </c>
      <c r="I3" s="6" t="s">
        <v>58</v>
      </c>
      <c r="J3" s="6" t="s">
        <v>59</v>
      </c>
      <c r="K3" s="6" t="s">
        <v>60</v>
      </c>
      <c r="L3" s="6" t="s">
        <v>61</v>
      </c>
      <c r="M3" s="6" t="s">
        <v>62</v>
      </c>
      <c r="N3" s="6" t="s">
        <v>63</v>
      </c>
      <c r="O3" s="6" t="s">
        <v>64</v>
      </c>
      <c r="P3" s="6" t="s">
        <v>65</v>
      </c>
      <c r="Q3" s="6" t="s">
        <v>66</v>
      </c>
      <c r="R3" s="6" t="s">
        <v>67</v>
      </c>
      <c r="S3" s="6" t="s">
        <v>68</v>
      </c>
      <c r="T3" s="6" t="s">
        <v>69</v>
      </c>
      <c r="U3" s="6" t="s">
        <v>70</v>
      </c>
      <c r="V3" s="6" t="s">
        <v>71</v>
      </c>
      <c r="W3" s="6" t="s">
        <v>72</v>
      </c>
      <c r="X3" s="6" t="s">
        <v>73</v>
      </c>
      <c r="Y3" s="6" t="s">
        <v>74</v>
      </c>
      <c r="Z3" s="6" t="s">
        <v>75</v>
      </c>
      <c r="AA3" s="6" t="s">
        <v>76</v>
      </c>
      <c r="AB3" s="6" t="s">
        <v>239</v>
      </c>
      <c r="AC3" s="6" t="s">
        <v>240</v>
      </c>
      <c r="AD3" s="6" t="s">
        <v>241</v>
      </c>
      <c r="AE3" s="6" t="s">
        <v>242</v>
      </c>
    </row>
    <row r="4" spans="1:31" x14ac:dyDescent="0.3">
      <c r="A4" s="4">
        <v>45600.470578703702</v>
      </c>
      <c r="B4" s="4">
        <v>45600.48841435185</v>
      </c>
      <c r="C4" s="5" t="s">
        <v>30</v>
      </c>
      <c r="D4" s="5" t="s">
        <v>77</v>
      </c>
      <c r="E4" s="5">
        <v>100</v>
      </c>
      <c r="F4" s="5">
        <v>1541</v>
      </c>
      <c r="G4" s="5" t="b">
        <v>1</v>
      </c>
      <c r="H4" s="4">
        <v>45600.488425925927</v>
      </c>
      <c r="I4" s="5" t="s">
        <v>78</v>
      </c>
      <c r="J4" s="5"/>
      <c r="K4" s="5"/>
      <c r="L4" s="5"/>
      <c r="M4" s="5"/>
      <c r="N4" s="5">
        <v>40.712299999999999</v>
      </c>
      <c r="O4" s="5">
        <v>-74.006799999999998</v>
      </c>
      <c r="P4" s="5" t="s">
        <v>79</v>
      </c>
      <c r="Q4" s="5" t="s">
        <v>80</v>
      </c>
      <c r="R4" s="5">
        <v>1</v>
      </c>
      <c r="S4" s="5" t="s">
        <v>81</v>
      </c>
      <c r="T4" s="5" t="s">
        <v>82</v>
      </c>
      <c r="U4" s="5" t="s">
        <v>83</v>
      </c>
      <c r="V4" s="5" t="s">
        <v>84</v>
      </c>
      <c r="W4" s="5" t="s">
        <v>85</v>
      </c>
      <c r="X4" s="5" t="s">
        <v>86</v>
      </c>
      <c r="Y4" s="5"/>
      <c r="Z4" s="5" t="s">
        <v>87</v>
      </c>
      <c r="AA4" s="5" t="s">
        <v>88</v>
      </c>
      <c r="AB4" s="5" t="s">
        <v>243</v>
      </c>
      <c r="AC4" s="5" t="s">
        <v>244</v>
      </c>
      <c r="AD4" s="5" t="s">
        <v>245</v>
      </c>
      <c r="AE4" s="5" t="s">
        <v>246</v>
      </c>
    </row>
    <row r="5" spans="1:31" x14ac:dyDescent="0.3">
      <c r="A5" s="4">
        <v>45600.481064814812</v>
      </c>
      <c r="B5" s="4">
        <v>45600.516388888886</v>
      </c>
      <c r="C5" s="5" t="s">
        <v>30</v>
      </c>
      <c r="D5" s="5" t="s">
        <v>89</v>
      </c>
      <c r="E5" s="5">
        <v>100</v>
      </c>
      <c r="F5" s="5">
        <v>3051</v>
      </c>
      <c r="G5" s="5" t="b">
        <v>1</v>
      </c>
      <c r="H5" s="4">
        <v>45600.516388888886</v>
      </c>
      <c r="I5" s="5" t="s">
        <v>90</v>
      </c>
      <c r="J5" s="5"/>
      <c r="K5" s="5"/>
      <c r="L5" s="5"/>
      <c r="M5" s="5"/>
      <c r="N5" s="5">
        <v>42.270499999999998</v>
      </c>
      <c r="O5" s="5">
        <v>-71.844700000000003</v>
      </c>
      <c r="P5" s="5" t="s">
        <v>79</v>
      </c>
      <c r="Q5" s="5" t="s">
        <v>80</v>
      </c>
      <c r="R5" s="5">
        <v>1</v>
      </c>
      <c r="S5" s="5" t="s">
        <v>91</v>
      </c>
      <c r="T5" s="5" t="s">
        <v>92</v>
      </c>
      <c r="U5" s="5" t="s">
        <v>93</v>
      </c>
      <c r="V5" s="5" t="s">
        <v>94</v>
      </c>
      <c r="W5" s="5" t="s">
        <v>85</v>
      </c>
      <c r="X5" s="5" t="s">
        <v>95</v>
      </c>
      <c r="Y5" s="5"/>
      <c r="Z5" s="5" t="s">
        <v>87</v>
      </c>
      <c r="AA5" s="5" t="s">
        <v>88</v>
      </c>
      <c r="AB5" s="5" t="s">
        <v>244</v>
      </c>
      <c r="AC5" s="5" t="s">
        <v>247</v>
      </c>
      <c r="AD5" s="5" t="s">
        <v>247</v>
      </c>
      <c r="AE5" s="5" t="s">
        <v>247</v>
      </c>
    </row>
    <row r="6" spans="1:31" x14ac:dyDescent="0.3">
      <c r="A6" s="4">
        <v>45600.544652777775</v>
      </c>
      <c r="B6" s="4">
        <v>45600.547488425924</v>
      </c>
      <c r="C6" s="5" t="s">
        <v>30</v>
      </c>
      <c r="D6" s="5" t="s">
        <v>96</v>
      </c>
      <c r="E6" s="5">
        <v>100</v>
      </c>
      <c r="F6" s="5">
        <v>245</v>
      </c>
      <c r="G6" s="5" t="b">
        <v>1</v>
      </c>
      <c r="H6" s="4">
        <v>45600.547500000001</v>
      </c>
      <c r="I6" s="5" t="s">
        <v>97</v>
      </c>
      <c r="J6" s="5"/>
      <c r="K6" s="5"/>
      <c r="L6" s="5"/>
      <c r="M6" s="5"/>
      <c r="N6" s="5">
        <v>42.247399999999999</v>
      </c>
      <c r="O6" s="5">
        <v>-71.806899999999999</v>
      </c>
      <c r="P6" s="5" t="s">
        <v>79</v>
      </c>
      <c r="Q6" s="5" t="s">
        <v>80</v>
      </c>
      <c r="R6" s="5">
        <v>1</v>
      </c>
      <c r="S6" s="5" t="s">
        <v>81</v>
      </c>
      <c r="T6" s="5" t="s">
        <v>82</v>
      </c>
      <c r="U6" s="5" t="s">
        <v>83</v>
      </c>
      <c r="V6" s="5" t="s">
        <v>84</v>
      </c>
      <c r="W6" s="5" t="s">
        <v>98</v>
      </c>
      <c r="X6" s="5" t="s">
        <v>86</v>
      </c>
      <c r="Y6" s="5"/>
      <c r="Z6" s="5" t="s">
        <v>99</v>
      </c>
      <c r="AA6" s="5" t="s">
        <v>100</v>
      </c>
      <c r="AB6" s="5" t="s">
        <v>248</v>
      </c>
      <c r="AC6" s="5" t="s">
        <v>249</v>
      </c>
      <c r="AD6" s="5" t="s">
        <v>250</v>
      </c>
      <c r="AE6" s="5" t="s">
        <v>250</v>
      </c>
    </row>
    <row r="7" spans="1:31" x14ac:dyDescent="0.3">
      <c r="A7" s="4">
        <v>45600.580821759257</v>
      </c>
      <c r="B7" s="4">
        <v>45600.629837962966</v>
      </c>
      <c r="C7" s="5" t="s">
        <v>30</v>
      </c>
      <c r="D7" s="5" t="s">
        <v>101</v>
      </c>
      <c r="E7" s="5">
        <v>100</v>
      </c>
      <c r="F7" s="5">
        <v>4235</v>
      </c>
      <c r="G7" s="5" t="b">
        <v>1</v>
      </c>
      <c r="H7" s="4">
        <v>45600.629849537036</v>
      </c>
      <c r="I7" s="5" t="s">
        <v>102</v>
      </c>
      <c r="J7" s="5"/>
      <c r="K7" s="5"/>
      <c r="L7" s="5"/>
      <c r="M7" s="5"/>
      <c r="N7" s="5">
        <v>42.2821</v>
      </c>
      <c r="O7" s="5">
        <v>-71.8262</v>
      </c>
      <c r="P7" s="5" t="s">
        <v>79</v>
      </c>
      <c r="Q7" s="5" t="s">
        <v>80</v>
      </c>
      <c r="R7" s="5">
        <v>1</v>
      </c>
      <c r="S7" s="5" t="s">
        <v>103</v>
      </c>
      <c r="T7" s="5">
        <v>132</v>
      </c>
      <c r="U7" s="5" t="s">
        <v>83</v>
      </c>
      <c r="V7" s="5" t="s">
        <v>84</v>
      </c>
      <c r="W7" s="5" t="s">
        <v>85</v>
      </c>
      <c r="X7" s="5" t="s">
        <v>86</v>
      </c>
      <c r="Y7" s="5"/>
      <c r="Z7" s="5" t="s">
        <v>87</v>
      </c>
      <c r="AA7" s="5" t="s">
        <v>88</v>
      </c>
      <c r="AB7" s="5" t="s">
        <v>251</v>
      </c>
      <c r="AC7" s="5" t="s">
        <v>252</v>
      </c>
      <c r="AD7" s="5" t="s">
        <v>253</v>
      </c>
      <c r="AE7" s="5" t="s">
        <v>254</v>
      </c>
    </row>
    <row r="8" spans="1:31" x14ac:dyDescent="0.3">
      <c r="A8" s="4">
        <v>45607.409201388888</v>
      </c>
      <c r="B8" s="4">
        <v>45607.445034722223</v>
      </c>
      <c r="C8" s="5" t="s">
        <v>30</v>
      </c>
      <c r="D8" s="5" t="s">
        <v>104</v>
      </c>
      <c r="E8" s="5">
        <v>100</v>
      </c>
      <c r="F8" s="5">
        <v>3095</v>
      </c>
      <c r="G8" s="5" t="b">
        <v>1</v>
      </c>
      <c r="H8" s="4">
        <v>45607.4450462963</v>
      </c>
      <c r="I8" s="5" t="s">
        <v>105</v>
      </c>
      <c r="J8" s="5"/>
      <c r="K8" s="5"/>
      <c r="L8" s="5"/>
      <c r="M8" s="5"/>
      <c r="N8" s="5">
        <v>42.325299999999999</v>
      </c>
      <c r="O8" s="5">
        <v>-71.095100000000002</v>
      </c>
      <c r="P8" s="5" t="s">
        <v>79</v>
      </c>
      <c r="Q8" s="5" t="s">
        <v>80</v>
      </c>
      <c r="R8" s="5">
        <v>1</v>
      </c>
      <c r="S8" s="5" t="s">
        <v>106</v>
      </c>
      <c r="T8" s="5" t="s">
        <v>107</v>
      </c>
      <c r="U8" s="5" t="s">
        <v>108</v>
      </c>
      <c r="V8" s="5" t="s">
        <v>109</v>
      </c>
      <c r="W8" s="5" t="s">
        <v>98</v>
      </c>
      <c r="X8" s="5" t="s">
        <v>86</v>
      </c>
      <c r="Y8" s="5"/>
      <c r="Z8" s="5" t="s">
        <v>99</v>
      </c>
      <c r="AA8" s="5" t="s">
        <v>100</v>
      </c>
      <c r="AB8" s="5" t="s">
        <v>247</v>
      </c>
      <c r="AC8" s="5" t="s">
        <v>244</v>
      </c>
      <c r="AD8" s="5" t="s">
        <v>255</v>
      </c>
      <c r="AE8" s="5" t="s">
        <v>245</v>
      </c>
    </row>
    <row r="9" spans="1:31" x14ac:dyDescent="0.3">
      <c r="A9" s="4">
        <v>45607.451516203706</v>
      </c>
      <c r="B9" s="4">
        <v>45607.460497685184</v>
      </c>
      <c r="C9" s="5" t="s">
        <v>30</v>
      </c>
      <c r="D9" s="5" t="s">
        <v>110</v>
      </c>
      <c r="E9" s="5">
        <v>100</v>
      </c>
      <c r="F9" s="5">
        <v>775</v>
      </c>
      <c r="G9" s="5" t="b">
        <v>1</v>
      </c>
      <c r="H9" s="4">
        <v>45607.460497685184</v>
      </c>
      <c r="I9" s="5" t="s">
        <v>111</v>
      </c>
      <c r="J9" s="5"/>
      <c r="K9" s="5"/>
      <c r="L9" s="5"/>
      <c r="M9" s="5"/>
      <c r="N9" s="5">
        <v>42.262</v>
      </c>
      <c r="O9" s="5">
        <v>-71.800700000000006</v>
      </c>
      <c r="P9" s="5" t="s">
        <v>79</v>
      </c>
      <c r="Q9" s="5" t="s">
        <v>80</v>
      </c>
      <c r="R9" s="5">
        <v>1</v>
      </c>
      <c r="S9" s="5" t="s">
        <v>91</v>
      </c>
      <c r="T9" s="5">
        <v>18.100000000000001</v>
      </c>
      <c r="U9" s="5" t="s">
        <v>93</v>
      </c>
      <c r="V9" s="5" t="s">
        <v>112</v>
      </c>
      <c r="W9" s="5" t="s">
        <v>98</v>
      </c>
      <c r="X9" s="5" t="s">
        <v>86</v>
      </c>
      <c r="Y9" s="5"/>
      <c r="Z9" s="5" t="s">
        <v>87</v>
      </c>
      <c r="AA9" s="5" t="s">
        <v>113</v>
      </c>
      <c r="AB9" s="5" t="s">
        <v>248</v>
      </c>
      <c r="AC9" s="5" t="s">
        <v>256</v>
      </c>
      <c r="AD9" s="5" t="s">
        <v>257</v>
      </c>
      <c r="AE9" s="5" t="s">
        <v>246</v>
      </c>
    </row>
    <row r="10" spans="1:31" x14ac:dyDescent="0.3">
      <c r="A10" s="4">
        <v>45607.456064814818</v>
      </c>
      <c r="B10" s="4">
        <v>45607.468807870369</v>
      </c>
      <c r="C10" s="5" t="s">
        <v>30</v>
      </c>
      <c r="D10" s="5" t="s">
        <v>114</v>
      </c>
      <c r="E10" s="5">
        <v>100</v>
      </c>
      <c r="F10" s="5">
        <v>1101</v>
      </c>
      <c r="G10" s="5" t="b">
        <v>1</v>
      </c>
      <c r="H10" s="4">
        <v>45607.468819444446</v>
      </c>
      <c r="I10" s="5" t="s">
        <v>115</v>
      </c>
      <c r="J10" s="5"/>
      <c r="K10" s="5"/>
      <c r="L10" s="5"/>
      <c r="M10" s="5"/>
      <c r="N10" s="5">
        <v>42.262</v>
      </c>
      <c r="O10" s="5">
        <v>-71.800700000000006</v>
      </c>
      <c r="P10" s="5" t="s">
        <v>79</v>
      </c>
      <c r="Q10" s="5" t="s">
        <v>80</v>
      </c>
      <c r="R10" s="5">
        <v>1</v>
      </c>
      <c r="S10" s="5" t="s">
        <v>116</v>
      </c>
      <c r="T10" s="5" t="s">
        <v>82</v>
      </c>
      <c r="U10" s="5" t="s">
        <v>83</v>
      </c>
      <c r="V10" s="5" t="s">
        <v>117</v>
      </c>
      <c r="W10" s="5" t="s">
        <v>85</v>
      </c>
      <c r="X10" s="5" t="s">
        <v>86</v>
      </c>
      <c r="Y10" s="5"/>
      <c r="Z10" s="5" t="s">
        <v>118</v>
      </c>
      <c r="AA10" s="5" t="s">
        <v>88</v>
      </c>
      <c r="AB10" s="5" t="s">
        <v>258</v>
      </c>
      <c r="AC10" s="5" t="s">
        <v>258</v>
      </c>
      <c r="AD10" s="5" t="s">
        <v>258</v>
      </c>
      <c r="AE10" s="5" t="s">
        <v>258</v>
      </c>
    </row>
    <row r="11" spans="1:31" x14ac:dyDescent="0.3">
      <c r="A11" s="4">
        <v>45607.471041666664</v>
      </c>
      <c r="B11" s="4">
        <v>45607.476342592592</v>
      </c>
      <c r="C11" s="5" t="s">
        <v>30</v>
      </c>
      <c r="D11" s="5" t="s">
        <v>114</v>
      </c>
      <c r="E11" s="5">
        <v>100</v>
      </c>
      <c r="F11" s="5">
        <v>457</v>
      </c>
      <c r="G11" s="5" t="b">
        <v>1</v>
      </c>
      <c r="H11" s="4">
        <v>45607.476342592592</v>
      </c>
      <c r="I11" s="5" t="s">
        <v>119</v>
      </c>
      <c r="J11" s="5"/>
      <c r="K11" s="5"/>
      <c r="L11" s="5"/>
      <c r="M11" s="5"/>
      <c r="N11" s="5">
        <v>42.262</v>
      </c>
      <c r="O11" s="5">
        <v>-71.800700000000006</v>
      </c>
      <c r="P11" s="5" t="s">
        <v>79</v>
      </c>
      <c r="Q11" s="5" t="s">
        <v>80</v>
      </c>
      <c r="R11" s="5">
        <v>1</v>
      </c>
      <c r="S11" s="5" t="s">
        <v>81</v>
      </c>
      <c r="T11" s="5" t="s">
        <v>82</v>
      </c>
      <c r="U11" s="5" t="s">
        <v>83</v>
      </c>
      <c r="V11" s="5" t="s">
        <v>120</v>
      </c>
      <c r="W11" s="5" t="s">
        <v>85</v>
      </c>
      <c r="X11" s="5" t="s">
        <v>86</v>
      </c>
      <c r="Y11" s="5"/>
      <c r="Z11" s="5" t="s">
        <v>118</v>
      </c>
      <c r="AA11" s="5" t="s">
        <v>88</v>
      </c>
      <c r="AB11" s="5" t="s">
        <v>258</v>
      </c>
      <c r="AC11" s="5" t="s">
        <v>258</v>
      </c>
      <c r="AD11" s="5" t="s">
        <v>258</v>
      </c>
      <c r="AE11" s="5" t="s">
        <v>258</v>
      </c>
    </row>
    <row r="12" spans="1:31" x14ac:dyDescent="0.3">
      <c r="A12" s="4">
        <v>45607.477337962962</v>
      </c>
      <c r="B12" s="4">
        <v>45607.486724537041</v>
      </c>
      <c r="C12" s="5" t="s">
        <v>30</v>
      </c>
      <c r="D12" s="5" t="s">
        <v>121</v>
      </c>
      <c r="E12" s="5">
        <v>100</v>
      </c>
      <c r="F12" s="5">
        <v>810</v>
      </c>
      <c r="G12" s="5" t="b">
        <v>1</v>
      </c>
      <c r="H12" s="4">
        <v>45607.48673611111</v>
      </c>
      <c r="I12" s="5" t="s">
        <v>122</v>
      </c>
      <c r="J12" s="5"/>
      <c r="K12" s="5"/>
      <c r="L12" s="5"/>
      <c r="M12" s="5"/>
      <c r="N12" s="5">
        <v>42.650799999999997</v>
      </c>
      <c r="O12" s="5">
        <v>-71.160700000000006</v>
      </c>
      <c r="P12" s="5" t="s">
        <v>79</v>
      </c>
      <c r="Q12" s="5" t="s">
        <v>80</v>
      </c>
      <c r="R12" s="5">
        <v>1</v>
      </c>
      <c r="S12" s="5" t="s">
        <v>116</v>
      </c>
      <c r="T12" s="5" t="s">
        <v>82</v>
      </c>
      <c r="U12" s="5" t="s">
        <v>93</v>
      </c>
      <c r="V12" s="5" t="s">
        <v>123</v>
      </c>
      <c r="W12" s="5" t="s">
        <v>98</v>
      </c>
      <c r="X12" s="5" t="s">
        <v>86</v>
      </c>
      <c r="Y12" s="5"/>
      <c r="Z12" s="5" t="s">
        <v>87</v>
      </c>
      <c r="AA12" s="5" t="s">
        <v>113</v>
      </c>
      <c r="AB12" s="5" t="s">
        <v>259</v>
      </c>
      <c r="AC12" s="5" t="s">
        <v>244</v>
      </c>
      <c r="AD12" s="5" t="s">
        <v>260</v>
      </c>
      <c r="AE12" s="5" t="s">
        <v>261</v>
      </c>
    </row>
    <row r="13" spans="1:31" x14ac:dyDescent="0.3">
      <c r="A13" s="4">
        <v>45607.509317129632</v>
      </c>
      <c r="B13" s="4">
        <v>45607.519525462965</v>
      </c>
      <c r="C13" s="5" t="s">
        <v>30</v>
      </c>
      <c r="D13" s="5" t="s">
        <v>124</v>
      </c>
      <c r="E13" s="5">
        <v>100</v>
      </c>
      <c r="F13" s="5">
        <v>881</v>
      </c>
      <c r="G13" s="5" t="b">
        <v>1</v>
      </c>
      <c r="H13" s="4">
        <v>45607.519525462965</v>
      </c>
      <c r="I13" s="5" t="s">
        <v>125</v>
      </c>
      <c r="J13" s="5"/>
      <c r="K13" s="5"/>
      <c r="L13" s="5"/>
      <c r="M13" s="5"/>
      <c r="N13" s="5">
        <v>42.2821</v>
      </c>
      <c r="O13" s="5">
        <v>-71.8262</v>
      </c>
      <c r="P13" s="5" t="s">
        <v>79</v>
      </c>
      <c r="Q13" s="5" t="s">
        <v>80</v>
      </c>
      <c r="R13" s="5">
        <v>1</v>
      </c>
      <c r="S13" s="5" t="s">
        <v>103</v>
      </c>
      <c r="T13" s="5">
        <v>131</v>
      </c>
      <c r="U13" s="5" t="s">
        <v>126</v>
      </c>
      <c r="V13" s="5" t="s">
        <v>127</v>
      </c>
      <c r="W13" s="5" t="s">
        <v>98</v>
      </c>
      <c r="X13" s="5" t="s">
        <v>128</v>
      </c>
      <c r="Y13" s="5"/>
      <c r="Z13" s="5" t="s">
        <v>87</v>
      </c>
      <c r="AA13" s="5" t="s">
        <v>113</v>
      </c>
      <c r="AB13" s="5" t="s">
        <v>244</v>
      </c>
      <c r="AC13" s="5" t="s">
        <v>244</v>
      </c>
      <c r="AD13" s="5" t="s">
        <v>244</v>
      </c>
      <c r="AE13" s="5" t="s">
        <v>257</v>
      </c>
    </row>
    <row r="14" spans="1:31" x14ac:dyDescent="0.3">
      <c r="A14" s="4">
        <v>45607.548136574071</v>
      </c>
      <c r="B14" s="4">
        <v>45607.563043981485</v>
      </c>
      <c r="C14" s="5" t="s">
        <v>30</v>
      </c>
      <c r="D14" s="5" t="s">
        <v>129</v>
      </c>
      <c r="E14" s="5">
        <v>100</v>
      </c>
      <c r="F14" s="5">
        <v>1287</v>
      </c>
      <c r="G14" s="5" t="b">
        <v>1</v>
      </c>
      <c r="H14" s="4">
        <v>45607.563043981485</v>
      </c>
      <c r="I14" s="5" t="s">
        <v>130</v>
      </c>
      <c r="J14" s="5"/>
      <c r="K14" s="5"/>
      <c r="L14" s="5"/>
      <c r="M14" s="5"/>
      <c r="N14" s="5">
        <v>42.2821</v>
      </c>
      <c r="O14" s="5">
        <v>-71.8262</v>
      </c>
      <c r="P14" s="5" t="s">
        <v>79</v>
      </c>
      <c r="Q14" s="5" t="s">
        <v>80</v>
      </c>
      <c r="R14" s="5">
        <v>1</v>
      </c>
      <c r="S14" s="5" t="s">
        <v>81</v>
      </c>
      <c r="T14" s="5" t="s">
        <v>82</v>
      </c>
      <c r="U14" s="5" t="s">
        <v>83</v>
      </c>
      <c r="V14" s="5" t="s">
        <v>131</v>
      </c>
      <c r="W14" s="5" t="s">
        <v>98</v>
      </c>
      <c r="X14" s="5" t="s">
        <v>128</v>
      </c>
      <c r="Y14" s="5"/>
      <c r="Z14" s="5" t="s">
        <v>87</v>
      </c>
      <c r="AA14" s="5" t="s">
        <v>113</v>
      </c>
      <c r="AB14" s="5" t="s">
        <v>243</v>
      </c>
      <c r="AC14" s="5" t="s">
        <v>251</v>
      </c>
      <c r="AD14" s="5" t="s">
        <v>246</v>
      </c>
      <c r="AE14" s="5" t="s">
        <v>262</v>
      </c>
    </row>
    <row r="15" spans="1:31" x14ac:dyDescent="0.3">
      <c r="A15" s="4">
        <v>45607.570115740738</v>
      </c>
      <c r="B15" s="4">
        <v>45607.577777777777</v>
      </c>
      <c r="C15" s="5" t="s">
        <v>30</v>
      </c>
      <c r="D15" s="5" t="s">
        <v>132</v>
      </c>
      <c r="E15" s="5">
        <v>100</v>
      </c>
      <c r="F15" s="5">
        <v>661</v>
      </c>
      <c r="G15" s="5" t="b">
        <v>1</v>
      </c>
      <c r="H15" s="4">
        <v>45607.577777777777</v>
      </c>
      <c r="I15" s="5" t="s">
        <v>133</v>
      </c>
      <c r="J15" s="5"/>
      <c r="K15" s="5"/>
      <c r="L15" s="5"/>
      <c r="M15" s="5"/>
      <c r="N15" s="5">
        <v>42.247399999999999</v>
      </c>
      <c r="O15" s="5">
        <v>-71.806899999999999</v>
      </c>
      <c r="P15" s="5" t="s">
        <v>79</v>
      </c>
      <c r="Q15" s="5" t="s">
        <v>80</v>
      </c>
      <c r="R15" s="5">
        <v>1</v>
      </c>
      <c r="S15" s="5" t="s">
        <v>91</v>
      </c>
      <c r="T15" s="5" t="s">
        <v>107</v>
      </c>
      <c r="U15" s="5" t="s">
        <v>93</v>
      </c>
      <c r="V15" s="5" t="s">
        <v>134</v>
      </c>
      <c r="W15" s="5" t="s">
        <v>98</v>
      </c>
      <c r="X15" s="5" t="s">
        <v>86</v>
      </c>
      <c r="Y15" s="5"/>
      <c r="Z15" s="5" t="s">
        <v>99</v>
      </c>
      <c r="AA15" s="5" t="s">
        <v>135</v>
      </c>
      <c r="AB15" s="5" t="s">
        <v>263</v>
      </c>
      <c r="AC15" s="5" t="s">
        <v>264</v>
      </c>
      <c r="AD15" s="5" t="s">
        <v>245</v>
      </c>
      <c r="AE15" s="5" t="s">
        <v>265</v>
      </c>
    </row>
    <row r="16" spans="1:31" x14ac:dyDescent="0.3">
      <c r="A16" s="4">
        <v>45607.567754629628</v>
      </c>
      <c r="B16" s="4">
        <v>45607.579884259256</v>
      </c>
      <c r="C16" s="5" t="s">
        <v>30</v>
      </c>
      <c r="D16" s="5" t="s">
        <v>132</v>
      </c>
      <c r="E16" s="5">
        <v>100</v>
      </c>
      <c r="F16" s="5">
        <v>1048</v>
      </c>
      <c r="G16" s="5" t="b">
        <v>1</v>
      </c>
      <c r="H16" s="4">
        <v>45607.579895833333</v>
      </c>
      <c r="I16" s="5" t="s">
        <v>136</v>
      </c>
      <c r="J16" s="5"/>
      <c r="K16" s="5"/>
      <c r="L16" s="5"/>
      <c r="M16" s="5"/>
      <c r="N16" s="5">
        <v>42.247399999999999</v>
      </c>
      <c r="O16" s="5">
        <v>-71.806899999999999</v>
      </c>
      <c r="P16" s="5" t="s">
        <v>79</v>
      </c>
      <c r="Q16" s="5" t="s">
        <v>80</v>
      </c>
      <c r="R16" s="5">
        <v>1</v>
      </c>
      <c r="S16" s="5" t="s">
        <v>137</v>
      </c>
      <c r="T16" s="5" t="s">
        <v>138</v>
      </c>
      <c r="U16" s="5" t="s">
        <v>108</v>
      </c>
      <c r="V16" s="5" t="s">
        <v>139</v>
      </c>
      <c r="W16" s="5" t="s">
        <v>85</v>
      </c>
      <c r="X16" s="5" t="s">
        <v>86</v>
      </c>
      <c r="Y16" s="5"/>
      <c r="Z16" s="5" t="s">
        <v>140</v>
      </c>
      <c r="AA16" s="5" t="s">
        <v>141</v>
      </c>
      <c r="AB16" s="5" t="s">
        <v>266</v>
      </c>
      <c r="AC16" s="5" t="s">
        <v>248</v>
      </c>
      <c r="AD16" s="5" t="s">
        <v>267</v>
      </c>
      <c r="AE16" s="5" t="s">
        <v>268</v>
      </c>
    </row>
    <row r="17" spans="1:31" x14ac:dyDescent="0.3">
      <c r="A17" s="4">
        <v>45607.485150462962</v>
      </c>
      <c r="B17" s="4">
        <v>45607.580092592594</v>
      </c>
      <c r="C17" s="5" t="s">
        <v>30</v>
      </c>
      <c r="D17" s="5" t="s">
        <v>142</v>
      </c>
      <c r="E17" s="5">
        <v>100</v>
      </c>
      <c r="F17" s="5">
        <v>8202</v>
      </c>
      <c r="G17" s="5" t="b">
        <v>1</v>
      </c>
      <c r="H17" s="4">
        <v>45607.580104166664</v>
      </c>
      <c r="I17" s="5" t="s">
        <v>143</v>
      </c>
      <c r="J17" s="5"/>
      <c r="K17" s="5"/>
      <c r="L17" s="5"/>
      <c r="M17" s="5"/>
      <c r="N17" s="5">
        <v>42.247399999999999</v>
      </c>
      <c r="O17" s="5">
        <v>-71.806899999999999</v>
      </c>
      <c r="P17" s="5" t="s">
        <v>79</v>
      </c>
      <c r="Q17" s="5" t="s">
        <v>80</v>
      </c>
      <c r="R17" s="5">
        <v>1</v>
      </c>
      <c r="S17" s="5" t="s">
        <v>116</v>
      </c>
      <c r="T17" s="5" t="s">
        <v>82</v>
      </c>
      <c r="U17" s="5" t="s">
        <v>83</v>
      </c>
      <c r="V17" s="5" t="s">
        <v>144</v>
      </c>
      <c r="W17" s="5" t="s">
        <v>98</v>
      </c>
      <c r="X17" s="5" t="s">
        <v>86</v>
      </c>
      <c r="Y17" s="5"/>
      <c r="Z17" s="5" t="s">
        <v>99</v>
      </c>
      <c r="AA17" s="5" t="s">
        <v>113</v>
      </c>
      <c r="AB17" s="5" t="s">
        <v>269</v>
      </c>
      <c r="AC17" s="5" t="s">
        <v>270</v>
      </c>
      <c r="AD17" s="5" t="s">
        <v>271</v>
      </c>
      <c r="AE17" s="5" t="s">
        <v>272</v>
      </c>
    </row>
    <row r="18" spans="1:31" x14ac:dyDescent="0.3">
      <c r="A18" s="4">
        <v>45600.481898148151</v>
      </c>
      <c r="B18" s="4">
        <v>45607.59337962963</v>
      </c>
      <c r="C18" s="5" t="s">
        <v>30</v>
      </c>
      <c r="D18" s="5" t="s">
        <v>145</v>
      </c>
      <c r="E18" s="5">
        <v>100</v>
      </c>
      <c r="F18" s="5">
        <v>614431</v>
      </c>
      <c r="G18" s="5" t="b">
        <v>1</v>
      </c>
      <c r="H18" s="4">
        <v>45607.593391203707</v>
      </c>
      <c r="I18" s="5" t="s">
        <v>146</v>
      </c>
      <c r="J18" s="5"/>
      <c r="K18" s="5"/>
      <c r="L18" s="5"/>
      <c r="M18" s="5"/>
      <c r="N18" s="5">
        <v>42.2821</v>
      </c>
      <c r="O18" s="5">
        <v>-71.8262</v>
      </c>
      <c r="P18" s="5" t="s">
        <v>79</v>
      </c>
      <c r="Q18" s="5" t="s">
        <v>80</v>
      </c>
      <c r="R18" s="5">
        <v>1</v>
      </c>
      <c r="S18" s="5" t="s">
        <v>116</v>
      </c>
      <c r="T18" s="5" t="s">
        <v>82</v>
      </c>
      <c r="U18" s="5" t="s">
        <v>83</v>
      </c>
      <c r="V18" s="5" t="s">
        <v>84</v>
      </c>
      <c r="W18" s="5" t="s">
        <v>98</v>
      </c>
      <c r="X18" s="5" t="s">
        <v>86</v>
      </c>
      <c r="Y18" s="5"/>
      <c r="Z18" s="5" t="s">
        <v>87</v>
      </c>
      <c r="AA18" s="5" t="s">
        <v>88</v>
      </c>
      <c r="AB18" s="5" t="s">
        <v>273</v>
      </c>
      <c r="AC18" s="5" t="s">
        <v>274</v>
      </c>
      <c r="AD18" s="5" t="s">
        <v>275</v>
      </c>
      <c r="AE18" s="5" t="s">
        <v>276</v>
      </c>
    </row>
    <row r="19" spans="1:31" x14ac:dyDescent="0.3">
      <c r="A19" s="4">
        <v>45607.588796296295</v>
      </c>
      <c r="B19" s="4">
        <v>45607.607847222222</v>
      </c>
      <c r="C19" s="5" t="s">
        <v>30</v>
      </c>
      <c r="D19" s="5" t="s">
        <v>147</v>
      </c>
      <c r="E19" s="5">
        <v>100</v>
      </c>
      <c r="F19" s="5">
        <v>1646</v>
      </c>
      <c r="G19" s="5" t="b">
        <v>1</v>
      </c>
      <c r="H19" s="4">
        <v>45607.607858796298</v>
      </c>
      <c r="I19" s="5" t="s">
        <v>148</v>
      </c>
      <c r="J19" s="5"/>
      <c r="K19" s="5"/>
      <c r="L19" s="5"/>
      <c r="M19" s="5"/>
      <c r="N19" s="5">
        <v>42.2821</v>
      </c>
      <c r="O19" s="5">
        <v>-71.8262</v>
      </c>
      <c r="P19" s="5" t="s">
        <v>79</v>
      </c>
      <c r="Q19" s="5" t="s">
        <v>80</v>
      </c>
      <c r="R19" s="5">
        <v>1</v>
      </c>
      <c r="S19" s="5" t="s">
        <v>91</v>
      </c>
      <c r="T19" s="5">
        <v>17.600000000000001</v>
      </c>
      <c r="U19" s="5" t="s">
        <v>93</v>
      </c>
      <c r="V19" s="5" t="s">
        <v>127</v>
      </c>
      <c r="W19" s="5" t="s">
        <v>85</v>
      </c>
      <c r="X19" s="5" t="s">
        <v>86</v>
      </c>
      <c r="Y19" s="5"/>
      <c r="Z19" s="5" t="s">
        <v>118</v>
      </c>
      <c r="AA19" s="5" t="s">
        <v>113</v>
      </c>
      <c r="AB19" s="5" t="s">
        <v>277</v>
      </c>
      <c r="AC19" s="5" t="s">
        <v>244</v>
      </c>
      <c r="AD19" s="5" t="s">
        <v>278</v>
      </c>
      <c r="AE19" s="5" t="s">
        <v>278</v>
      </c>
    </row>
    <row r="20" spans="1:31" x14ac:dyDescent="0.3">
      <c r="A20" s="4">
        <v>45607.628993055558</v>
      </c>
      <c r="B20" s="4">
        <v>45607.64334490741</v>
      </c>
      <c r="C20" s="5" t="s">
        <v>30</v>
      </c>
      <c r="D20" s="5" t="s">
        <v>149</v>
      </c>
      <c r="E20" s="5">
        <v>100</v>
      </c>
      <c r="F20" s="5">
        <v>1240</v>
      </c>
      <c r="G20" s="5" t="b">
        <v>1</v>
      </c>
      <c r="H20" s="4">
        <v>45607.64335648148</v>
      </c>
      <c r="I20" s="5" t="s">
        <v>150</v>
      </c>
      <c r="J20" s="5"/>
      <c r="K20" s="5"/>
      <c r="L20" s="5"/>
      <c r="M20" s="5"/>
      <c r="N20" s="5">
        <v>42.2821</v>
      </c>
      <c r="O20" s="5">
        <v>-71.8262</v>
      </c>
      <c r="P20" s="5" t="s">
        <v>79</v>
      </c>
      <c r="Q20" s="5" t="s">
        <v>80</v>
      </c>
      <c r="R20" s="5">
        <v>1</v>
      </c>
      <c r="S20" s="5" t="s">
        <v>116</v>
      </c>
      <c r="T20" s="5" t="s">
        <v>82</v>
      </c>
      <c r="U20" s="5" t="s">
        <v>83</v>
      </c>
      <c r="V20" s="5" t="s">
        <v>151</v>
      </c>
      <c r="W20" s="5" t="s">
        <v>98</v>
      </c>
      <c r="X20" s="5" t="s">
        <v>128</v>
      </c>
      <c r="Y20" s="5"/>
      <c r="Z20" s="5" t="s">
        <v>87</v>
      </c>
      <c r="AA20" s="5" t="s">
        <v>113</v>
      </c>
      <c r="AB20" s="5" t="s">
        <v>244</v>
      </c>
      <c r="AC20" s="5" t="s">
        <v>244</v>
      </c>
      <c r="AD20" s="5" t="s">
        <v>257</v>
      </c>
      <c r="AE20" s="5" t="s">
        <v>257</v>
      </c>
    </row>
    <row r="21" spans="1:31" x14ac:dyDescent="0.3">
      <c r="A21" s="4">
        <v>45607.67083333333</v>
      </c>
      <c r="B21" s="4">
        <v>45607.697187500002</v>
      </c>
      <c r="C21" s="5" t="s">
        <v>30</v>
      </c>
      <c r="D21" s="5" t="s">
        <v>152</v>
      </c>
      <c r="E21" s="5">
        <v>100</v>
      </c>
      <c r="F21" s="5">
        <v>2277</v>
      </c>
      <c r="G21" s="5" t="b">
        <v>1</v>
      </c>
      <c r="H21" s="4">
        <v>45607.697199074071</v>
      </c>
      <c r="I21" s="5" t="s">
        <v>153</v>
      </c>
      <c r="J21" s="5"/>
      <c r="K21" s="5"/>
      <c r="L21" s="5"/>
      <c r="M21" s="5"/>
      <c r="N21" s="5">
        <v>42.293399999999998</v>
      </c>
      <c r="O21" s="5">
        <v>-71.235600000000005</v>
      </c>
      <c r="P21" s="5" t="s">
        <v>79</v>
      </c>
      <c r="Q21" s="5" t="s">
        <v>80</v>
      </c>
      <c r="R21" s="5">
        <v>1</v>
      </c>
      <c r="S21" s="5" t="s">
        <v>116</v>
      </c>
      <c r="T21" s="5" t="s">
        <v>82</v>
      </c>
      <c r="U21" s="5" t="s">
        <v>83</v>
      </c>
      <c r="V21" s="5" t="s">
        <v>144</v>
      </c>
      <c r="W21" s="5" t="s">
        <v>98</v>
      </c>
      <c r="X21" s="5" t="s">
        <v>95</v>
      </c>
      <c r="Y21" s="5"/>
      <c r="Z21" s="5" t="s">
        <v>140</v>
      </c>
      <c r="AA21" s="5" t="s">
        <v>141</v>
      </c>
      <c r="AB21" s="5" t="s">
        <v>255</v>
      </c>
      <c r="AC21" s="5" t="s">
        <v>244</v>
      </c>
      <c r="AD21" s="5" t="s">
        <v>279</v>
      </c>
      <c r="AE21" s="5" t="s">
        <v>279</v>
      </c>
    </row>
    <row r="22" spans="1:31" x14ac:dyDescent="0.3">
      <c r="A22" s="4">
        <v>45607.682175925926</v>
      </c>
      <c r="B22" s="4">
        <v>45607.699976851851</v>
      </c>
      <c r="C22" s="5" t="s">
        <v>30</v>
      </c>
      <c r="D22" s="5" t="s">
        <v>154</v>
      </c>
      <c r="E22" s="5">
        <v>100</v>
      </c>
      <c r="F22" s="5">
        <v>1537</v>
      </c>
      <c r="G22" s="5" t="b">
        <v>1</v>
      </c>
      <c r="H22" s="4">
        <v>45607.699976851851</v>
      </c>
      <c r="I22" s="5" t="s">
        <v>155</v>
      </c>
      <c r="J22" s="5"/>
      <c r="K22" s="5"/>
      <c r="L22" s="5"/>
      <c r="M22" s="5"/>
      <c r="N22" s="5">
        <v>42.2821</v>
      </c>
      <c r="O22" s="5">
        <v>-71.8262</v>
      </c>
      <c r="P22" s="5" t="s">
        <v>79</v>
      </c>
      <c r="Q22" s="5" t="s">
        <v>80</v>
      </c>
      <c r="R22" s="5">
        <v>1</v>
      </c>
      <c r="S22" s="5" t="s">
        <v>116</v>
      </c>
      <c r="T22" s="5" t="s">
        <v>82</v>
      </c>
      <c r="U22" s="5" t="s">
        <v>83</v>
      </c>
      <c r="V22" s="5" t="s">
        <v>84</v>
      </c>
      <c r="W22" s="5" t="s">
        <v>98</v>
      </c>
      <c r="X22" s="5" t="s">
        <v>86</v>
      </c>
      <c r="Y22" s="5"/>
      <c r="Z22" s="5" t="s">
        <v>140</v>
      </c>
      <c r="AA22" s="5" t="s">
        <v>88</v>
      </c>
      <c r="AB22" s="5" t="s">
        <v>280</v>
      </c>
      <c r="AC22" s="5" t="s">
        <v>281</v>
      </c>
      <c r="AD22" s="5" t="s">
        <v>259</v>
      </c>
      <c r="AE22" s="5" t="s">
        <v>252</v>
      </c>
    </row>
    <row r="23" spans="1:31" x14ac:dyDescent="0.3">
      <c r="A23" s="4">
        <v>45607.801261574074</v>
      </c>
      <c r="B23" s="4">
        <v>45607.818761574075</v>
      </c>
      <c r="C23" s="5" t="s">
        <v>30</v>
      </c>
      <c r="D23" s="5" t="s">
        <v>156</v>
      </c>
      <c r="E23" s="5">
        <v>100</v>
      </c>
      <c r="F23" s="5">
        <v>1511</v>
      </c>
      <c r="G23" s="5" t="b">
        <v>1</v>
      </c>
      <c r="H23" s="4">
        <v>45607.818773148145</v>
      </c>
      <c r="I23" s="5" t="s">
        <v>157</v>
      </c>
      <c r="J23" s="5"/>
      <c r="K23" s="5"/>
      <c r="L23" s="5"/>
      <c r="M23" s="5"/>
      <c r="N23" s="5">
        <v>42.247399999999999</v>
      </c>
      <c r="O23" s="5">
        <v>-71.806899999999999</v>
      </c>
      <c r="P23" s="5" t="s">
        <v>79</v>
      </c>
      <c r="Q23" s="5" t="s">
        <v>80</v>
      </c>
      <c r="R23" s="5">
        <v>1</v>
      </c>
      <c r="S23" s="5" t="s">
        <v>116</v>
      </c>
      <c r="T23" s="5" t="s">
        <v>82</v>
      </c>
      <c r="U23" s="5" t="s">
        <v>126</v>
      </c>
      <c r="V23" s="5" t="s">
        <v>158</v>
      </c>
      <c r="W23" s="5" t="s">
        <v>98</v>
      </c>
      <c r="X23" s="5" t="s">
        <v>86</v>
      </c>
      <c r="Y23" s="5"/>
      <c r="Z23" s="5" t="s">
        <v>140</v>
      </c>
      <c r="AA23" s="5" t="s">
        <v>159</v>
      </c>
      <c r="AB23" s="5" t="s">
        <v>244</v>
      </c>
      <c r="AC23" s="5" t="s">
        <v>279</v>
      </c>
      <c r="AD23" s="5" t="s">
        <v>255</v>
      </c>
      <c r="AE23" s="5" t="s">
        <v>260</v>
      </c>
    </row>
    <row r="24" spans="1:31" x14ac:dyDescent="0.3">
      <c r="A24" s="4">
        <v>45607.829930555556</v>
      </c>
      <c r="B24" s="4">
        <v>45607.842094907406</v>
      </c>
      <c r="C24" s="5" t="s">
        <v>30</v>
      </c>
      <c r="D24" s="5" t="s">
        <v>160</v>
      </c>
      <c r="E24" s="5">
        <v>100</v>
      </c>
      <c r="F24" s="5">
        <v>1051</v>
      </c>
      <c r="G24" s="5" t="b">
        <v>1</v>
      </c>
      <c r="H24" s="4">
        <v>45607.842106481483</v>
      </c>
      <c r="I24" s="5" t="s">
        <v>161</v>
      </c>
      <c r="J24" s="5"/>
      <c r="K24" s="5"/>
      <c r="L24" s="5"/>
      <c r="M24" s="5"/>
      <c r="N24" s="5">
        <v>42.339599999999997</v>
      </c>
      <c r="O24" s="5">
        <v>-71.567800000000005</v>
      </c>
      <c r="P24" s="5" t="s">
        <v>79</v>
      </c>
      <c r="Q24" s="5" t="s">
        <v>80</v>
      </c>
      <c r="R24" s="5">
        <v>1</v>
      </c>
      <c r="S24" s="5" t="s">
        <v>116</v>
      </c>
      <c r="T24" s="5" t="s">
        <v>82</v>
      </c>
      <c r="U24" s="5" t="s">
        <v>83</v>
      </c>
      <c r="V24" s="5" t="s">
        <v>127</v>
      </c>
      <c r="W24" s="5" t="s">
        <v>85</v>
      </c>
      <c r="X24" s="5" t="s">
        <v>95</v>
      </c>
      <c r="Y24" s="5"/>
      <c r="Z24" s="5" t="s">
        <v>87</v>
      </c>
      <c r="AA24" s="5" t="s">
        <v>88</v>
      </c>
      <c r="AB24" s="5" t="s">
        <v>282</v>
      </c>
      <c r="AC24" s="5" t="s">
        <v>244</v>
      </c>
      <c r="AD24" s="5" t="s">
        <v>257</v>
      </c>
      <c r="AE24" s="5" t="s">
        <v>246</v>
      </c>
    </row>
    <row r="25" spans="1:31" x14ac:dyDescent="0.3">
      <c r="A25" s="4">
        <v>45607.794560185182</v>
      </c>
      <c r="B25" s="4">
        <v>45607.849664351852</v>
      </c>
      <c r="C25" s="5" t="s">
        <v>30</v>
      </c>
      <c r="D25" s="5" t="s">
        <v>162</v>
      </c>
      <c r="E25" s="5">
        <v>100</v>
      </c>
      <c r="F25" s="5">
        <v>4761</v>
      </c>
      <c r="G25" s="5" t="b">
        <v>1</v>
      </c>
      <c r="H25" s="4">
        <v>45607.849675925929</v>
      </c>
      <c r="I25" s="5" t="s">
        <v>163</v>
      </c>
      <c r="J25" s="5"/>
      <c r="K25" s="5"/>
      <c r="L25" s="5"/>
      <c r="M25" s="5"/>
      <c r="N25" s="5">
        <v>42.247399999999999</v>
      </c>
      <c r="O25" s="5">
        <v>-71.806899999999999</v>
      </c>
      <c r="P25" s="5" t="s">
        <v>79</v>
      </c>
      <c r="Q25" s="5" t="s">
        <v>80</v>
      </c>
      <c r="R25" s="5">
        <v>1</v>
      </c>
      <c r="S25" s="5" t="s">
        <v>81</v>
      </c>
      <c r="T25" s="5" t="s">
        <v>82</v>
      </c>
      <c r="U25" s="5" t="s">
        <v>83</v>
      </c>
      <c r="V25" s="5" t="s">
        <v>84</v>
      </c>
      <c r="W25" s="5" t="s">
        <v>98</v>
      </c>
      <c r="X25" s="5" t="s">
        <v>95</v>
      </c>
      <c r="Y25" s="5"/>
      <c r="Z25" s="5" t="s">
        <v>140</v>
      </c>
      <c r="AA25" s="5" t="s">
        <v>88</v>
      </c>
      <c r="AB25" s="5" t="s">
        <v>255</v>
      </c>
      <c r="AC25" s="5" t="s">
        <v>256</v>
      </c>
      <c r="AD25" s="5" t="s">
        <v>283</v>
      </c>
      <c r="AE25" s="5" t="s">
        <v>265</v>
      </c>
    </row>
    <row r="26" spans="1:31" x14ac:dyDescent="0.3">
      <c r="A26" s="4">
        <v>45608.392222222225</v>
      </c>
      <c r="B26" s="4">
        <v>45608.40351851852</v>
      </c>
      <c r="C26" s="5" t="s">
        <v>30</v>
      </c>
      <c r="D26" s="5" t="s">
        <v>164</v>
      </c>
      <c r="E26" s="5">
        <v>100</v>
      </c>
      <c r="F26" s="5">
        <v>976</v>
      </c>
      <c r="G26" s="5" t="b">
        <v>1</v>
      </c>
      <c r="H26" s="4">
        <v>45608.40353009259</v>
      </c>
      <c r="I26" s="5" t="s">
        <v>165</v>
      </c>
      <c r="J26" s="5"/>
      <c r="K26" s="5"/>
      <c r="L26" s="5"/>
      <c r="M26" s="5"/>
      <c r="N26" s="5">
        <v>42.262</v>
      </c>
      <c r="O26" s="5">
        <v>-71.800700000000006</v>
      </c>
      <c r="P26" s="5" t="s">
        <v>79</v>
      </c>
      <c r="Q26" s="5" t="s">
        <v>80</v>
      </c>
      <c r="R26" s="5">
        <v>1</v>
      </c>
      <c r="S26" s="5" t="s">
        <v>116</v>
      </c>
      <c r="T26" s="5" t="s">
        <v>82</v>
      </c>
      <c r="U26" s="5" t="s">
        <v>93</v>
      </c>
      <c r="V26" s="5" t="s">
        <v>123</v>
      </c>
      <c r="W26" s="5" t="s">
        <v>98</v>
      </c>
      <c r="X26" s="5" t="s">
        <v>128</v>
      </c>
      <c r="Y26" s="5"/>
      <c r="Z26" s="5" t="s">
        <v>118</v>
      </c>
      <c r="AA26" s="5" t="s">
        <v>113</v>
      </c>
      <c r="AB26" s="5" t="s">
        <v>284</v>
      </c>
      <c r="AC26" s="5" t="s">
        <v>284</v>
      </c>
      <c r="AD26" s="5" t="s">
        <v>285</v>
      </c>
      <c r="AE26" s="5" t="s">
        <v>285</v>
      </c>
    </row>
    <row r="27" spans="1:31" x14ac:dyDescent="0.3">
      <c r="A27" s="4">
        <v>45608.414467592593</v>
      </c>
      <c r="B27" s="4">
        <v>45608.430810185186</v>
      </c>
      <c r="C27" s="5" t="s">
        <v>30</v>
      </c>
      <c r="D27" s="5" t="s">
        <v>166</v>
      </c>
      <c r="E27" s="5">
        <v>100</v>
      </c>
      <c r="F27" s="5">
        <v>1412</v>
      </c>
      <c r="G27" s="5" t="b">
        <v>1</v>
      </c>
      <c r="H27" s="4">
        <v>45608.430821759262</v>
      </c>
      <c r="I27" s="5" t="s">
        <v>167</v>
      </c>
      <c r="J27" s="5"/>
      <c r="K27" s="5"/>
      <c r="L27" s="5"/>
      <c r="M27" s="5"/>
      <c r="N27" s="5">
        <v>42.2821</v>
      </c>
      <c r="O27" s="5">
        <v>-71.8262</v>
      </c>
      <c r="P27" s="5" t="s">
        <v>79</v>
      </c>
      <c r="Q27" s="5" t="s">
        <v>80</v>
      </c>
      <c r="R27" s="5">
        <v>1</v>
      </c>
      <c r="S27" s="5" t="s">
        <v>81</v>
      </c>
      <c r="T27" s="5" t="s">
        <v>82</v>
      </c>
      <c r="U27" s="5" t="s">
        <v>83</v>
      </c>
      <c r="V27" s="5" t="s">
        <v>84</v>
      </c>
      <c r="W27" s="5" t="s">
        <v>85</v>
      </c>
      <c r="X27" s="5" t="s">
        <v>95</v>
      </c>
      <c r="Y27" s="5"/>
      <c r="Z27" s="5" t="s">
        <v>118</v>
      </c>
      <c r="AA27" s="5" t="s">
        <v>88</v>
      </c>
      <c r="AB27" s="5" t="s">
        <v>247</v>
      </c>
      <c r="AC27" s="5" t="s">
        <v>244</v>
      </c>
      <c r="AD27" s="5" t="s">
        <v>247</v>
      </c>
      <c r="AE27" s="5" t="s">
        <v>279</v>
      </c>
    </row>
    <row r="28" spans="1:31" x14ac:dyDescent="0.3">
      <c r="A28" s="4">
        <v>45608.439247685186</v>
      </c>
      <c r="B28" s="4">
        <v>45608.452164351853</v>
      </c>
      <c r="C28" s="5" t="s">
        <v>30</v>
      </c>
      <c r="D28" s="5" t="s">
        <v>168</v>
      </c>
      <c r="E28" s="5">
        <v>100</v>
      </c>
      <c r="F28" s="5">
        <v>1116</v>
      </c>
      <c r="G28" s="5" t="b">
        <v>1</v>
      </c>
      <c r="H28" s="4">
        <v>45608.452175925922</v>
      </c>
      <c r="I28" s="5" t="s">
        <v>169</v>
      </c>
      <c r="J28" s="5"/>
      <c r="K28" s="5"/>
      <c r="L28" s="5"/>
      <c r="M28" s="5"/>
      <c r="N28" s="5">
        <v>42.270499999999998</v>
      </c>
      <c r="O28" s="5">
        <v>-71.844700000000003</v>
      </c>
      <c r="P28" s="5" t="s">
        <v>79</v>
      </c>
      <c r="Q28" s="5" t="s">
        <v>80</v>
      </c>
      <c r="R28" s="5">
        <v>1</v>
      </c>
      <c r="S28" s="5" t="s">
        <v>137</v>
      </c>
      <c r="T28" s="5" t="s">
        <v>138</v>
      </c>
      <c r="U28" s="5" t="s">
        <v>108</v>
      </c>
      <c r="V28" s="5" t="s">
        <v>109</v>
      </c>
      <c r="W28" s="5" t="s">
        <v>98</v>
      </c>
      <c r="X28" s="5" t="s">
        <v>86</v>
      </c>
      <c r="Y28" s="5"/>
      <c r="Z28" s="5" t="s">
        <v>118</v>
      </c>
      <c r="AA28" s="5" t="s">
        <v>170</v>
      </c>
      <c r="AB28" s="5" t="s">
        <v>286</v>
      </c>
      <c r="AC28" s="5" t="s">
        <v>244</v>
      </c>
      <c r="AD28" s="5" t="s">
        <v>268</v>
      </c>
      <c r="AE28" s="5" t="s">
        <v>266</v>
      </c>
    </row>
    <row r="29" spans="1:31" x14ac:dyDescent="0.3">
      <c r="A29" s="4">
        <v>45608.436921296299</v>
      </c>
      <c r="B29" s="4">
        <v>45608.458831018521</v>
      </c>
      <c r="C29" s="5" t="s">
        <v>30</v>
      </c>
      <c r="D29" s="5" t="s">
        <v>171</v>
      </c>
      <c r="E29" s="5">
        <v>100</v>
      </c>
      <c r="F29" s="5">
        <v>1893</v>
      </c>
      <c r="G29" s="5" t="b">
        <v>1</v>
      </c>
      <c r="H29" s="4">
        <v>45608.45884259259</v>
      </c>
      <c r="I29" s="5" t="s">
        <v>172</v>
      </c>
      <c r="J29" s="5"/>
      <c r="K29" s="5"/>
      <c r="L29" s="5"/>
      <c r="M29" s="5"/>
      <c r="N29" s="5">
        <v>42.2821</v>
      </c>
      <c r="O29" s="5">
        <v>-71.8262</v>
      </c>
      <c r="P29" s="5" t="s">
        <v>79</v>
      </c>
      <c r="Q29" s="5" t="s">
        <v>80</v>
      </c>
      <c r="R29" s="5">
        <v>1</v>
      </c>
      <c r="S29" s="5" t="s">
        <v>116</v>
      </c>
      <c r="T29" s="5" t="s">
        <v>82</v>
      </c>
      <c r="U29" s="5" t="s">
        <v>83</v>
      </c>
      <c r="V29" s="5" t="s">
        <v>84</v>
      </c>
      <c r="W29" s="5" t="s">
        <v>98</v>
      </c>
      <c r="X29" s="5" t="s">
        <v>128</v>
      </c>
      <c r="Y29" s="5"/>
      <c r="Z29" s="5" t="s">
        <v>87</v>
      </c>
      <c r="AA29" s="5" t="s">
        <v>88</v>
      </c>
      <c r="AB29" s="5" t="s">
        <v>246</v>
      </c>
      <c r="AC29" s="5" t="s">
        <v>244</v>
      </c>
      <c r="AD29" s="5" t="s">
        <v>244</v>
      </c>
      <c r="AE29" s="5" t="s">
        <v>277</v>
      </c>
    </row>
    <row r="30" spans="1:31" x14ac:dyDescent="0.3">
      <c r="A30" s="4">
        <v>45608.455451388887</v>
      </c>
      <c r="B30" s="4">
        <v>45608.468136574076</v>
      </c>
      <c r="C30" s="5" t="s">
        <v>30</v>
      </c>
      <c r="D30" s="5" t="s">
        <v>173</v>
      </c>
      <c r="E30" s="5">
        <v>100</v>
      </c>
      <c r="F30" s="5">
        <v>1096</v>
      </c>
      <c r="G30" s="5" t="b">
        <v>1</v>
      </c>
      <c r="H30" s="4">
        <v>45608.468148148146</v>
      </c>
      <c r="I30" s="5" t="s">
        <v>174</v>
      </c>
      <c r="J30" s="5"/>
      <c r="K30" s="5"/>
      <c r="L30" s="5"/>
      <c r="M30" s="5"/>
      <c r="N30" s="5">
        <v>42.262</v>
      </c>
      <c r="O30" s="5">
        <v>-71.800700000000006</v>
      </c>
      <c r="P30" s="5" t="s">
        <v>79</v>
      </c>
      <c r="Q30" s="5" t="s">
        <v>80</v>
      </c>
      <c r="R30" s="5">
        <v>1</v>
      </c>
      <c r="S30" s="5" t="s">
        <v>116</v>
      </c>
      <c r="T30" s="5" t="s">
        <v>82</v>
      </c>
      <c r="U30" s="5" t="s">
        <v>83</v>
      </c>
      <c r="V30" s="5" t="s">
        <v>127</v>
      </c>
      <c r="W30" s="5" t="s">
        <v>98</v>
      </c>
      <c r="X30" s="5" t="s">
        <v>95</v>
      </c>
      <c r="Y30" s="5"/>
      <c r="Z30" s="5" t="s">
        <v>140</v>
      </c>
      <c r="AA30" s="5" t="s">
        <v>175</v>
      </c>
      <c r="AB30" s="5" t="s">
        <v>251</v>
      </c>
      <c r="AC30" s="5" t="s">
        <v>281</v>
      </c>
      <c r="AD30" s="5" t="s">
        <v>262</v>
      </c>
      <c r="AE30" s="5" t="s">
        <v>246</v>
      </c>
    </row>
    <row r="31" spans="1:31" x14ac:dyDescent="0.3">
      <c r="A31" s="4">
        <v>45608.438587962963</v>
      </c>
      <c r="B31" s="4">
        <v>45608.495393518519</v>
      </c>
      <c r="C31" s="5" t="s">
        <v>30</v>
      </c>
      <c r="D31" s="5" t="s">
        <v>176</v>
      </c>
      <c r="E31" s="5">
        <v>100</v>
      </c>
      <c r="F31" s="5">
        <v>4907</v>
      </c>
      <c r="G31" s="5" t="b">
        <v>1</v>
      </c>
      <c r="H31" s="4">
        <v>45608.495405092595</v>
      </c>
      <c r="I31" s="5" t="s">
        <v>177</v>
      </c>
      <c r="J31" s="5"/>
      <c r="K31" s="5"/>
      <c r="L31" s="5"/>
      <c r="M31" s="5"/>
      <c r="N31" s="5">
        <v>42.2821</v>
      </c>
      <c r="O31" s="5">
        <v>-71.8262</v>
      </c>
      <c r="P31" s="5" t="s">
        <v>79</v>
      </c>
      <c r="Q31" s="5" t="s">
        <v>80</v>
      </c>
      <c r="R31" s="5">
        <v>1</v>
      </c>
      <c r="S31" s="5" t="s">
        <v>116</v>
      </c>
      <c r="T31" s="5" t="s">
        <v>82</v>
      </c>
      <c r="U31" s="5" t="s">
        <v>83</v>
      </c>
      <c r="V31" s="5" t="s">
        <v>144</v>
      </c>
      <c r="W31" s="5" t="s">
        <v>98</v>
      </c>
      <c r="X31" s="5" t="s">
        <v>128</v>
      </c>
      <c r="Y31" s="5"/>
      <c r="Z31" s="5" t="s">
        <v>87</v>
      </c>
      <c r="AA31" s="5" t="s">
        <v>178</v>
      </c>
      <c r="AB31" s="5" t="s">
        <v>287</v>
      </c>
      <c r="AC31" s="5" t="s">
        <v>244</v>
      </c>
      <c r="AD31" s="5" t="s">
        <v>246</v>
      </c>
      <c r="AE31" s="5" t="s">
        <v>287</v>
      </c>
    </row>
    <row r="32" spans="1:31" x14ac:dyDescent="0.3">
      <c r="A32" s="4">
        <v>45608.557615740741</v>
      </c>
      <c r="B32" s="4">
        <v>45608.563437500001</v>
      </c>
      <c r="C32" s="5" t="s">
        <v>30</v>
      </c>
      <c r="D32" s="5" t="s">
        <v>132</v>
      </c>
      <c r="E32" s="5">
        <v>100</v>
      </c>
      <c r="F32" s="5">
        <v>502</v>
      </c>
      <c r="G32" s="5" t="b">
        <v>1</v>
      </c>
      <c r="H32" s="4">
        <v>45608.563437500001</v>
      </c>
      <c r="I32" s="5" t="s">
        <v>179</v>
      </c>
      <c r="J32" s="5"/>
      <c r="K32" s="5"/>
      <c r="L32" s="5"/>
      <c r="M32" s="5"/>
      <c r="N32" s="5">
        <v>42.247399999999999</v>
      </c>
      <c r="O32" s="5">
        <v>-71.806899999999999</v>
      </c>
      <c r="P32" s="5" t="s">
        <v>79</v>
      </c>
      <c r="Q32" s="5" t="s">
        <v>80</v>
      </c>
      <c r="R32" s="5">
        <v>1</v>
      </c>
      <c r="S32" s="5" t="s">
        <v>106</v>
      </c>
      <c r="T32" s="5">
        <v>18.100000000000001</v>
      </c>
      <c r="U32" s="5" t="s">
        <v>108</v>
      </c>
      <c r="V32" s="5" t="s">
        <v>180</v>
      </c>
      <c r="W32" s="5" t="s">
        <v>98</v>
      </c>
      <c r="X32" s="5" t="s">
        <v>95</v>
      </c>
      <c r="Y32" s="5"/>
      <c r="Z32" s="5" t="s">
        <v>99</v>
      </c>
      <c r="AA32" s="5" t="s">
        <v>181</v>
      </c>
      <c r="AB32" s="5" t="s">
        <v>250</v>
      </c>
      <c r="AC32" s="5" t="s">
        <v>248</v>
      </c>
      <c r="AD32" s="5" t="s">
        <v>288</v>
      </c>
      <c r="AE32" s="5" t="s">
        <v>248</v>
      </c>
    </row>
    <row r="33" spans="1:31" x14ac:dyDescent="0.3">
      <c r="A33" s="4">
        <v>45608.499108796299</v>
      </c>
      <c r="B33" s="4">
        <v>45608.584444444445</v>
      </c>
      <c r="C33" s="5" t="s">
        <v>30</v>
      </c>
      <c r="D33" s="5" t="s">
        <v>182</v>
      </c>
      <c r="E33" s="5">
        <v>100</v>
      </c>
      <c r="F33" s="5">
        <v>7373</v>
      </c>
      <c r="G33" s="5" t="b">
        <v>1</v>
      </c>
      <c r="H33" s="4">
        <v>45608.584456018521</v>
      </c>
      <c r="I33" s="5" t="s">
        <v>183</v>
      </c>
      <c r="J33" s="5"/>
      <c r="K33" s="5"/>
      <c r="L33" s="5"/>
      <c r="M33" s="5"/>
      <c r="N33" s="5">
        <v>42.2821</v>
      </c>
      <c r="O33" s="5">
        <v>-71.8262</v>
      </c>
      <c r="P33" s="5" t="s">
        <v>79</v>
      </c>
      <c r="Q33" s="5" t="s">
        <v>80</v>
      </c>
      <c r="R33" s="5">
        <v>1</v>
      </c>
      <c r="S33" s="5" t="s">
        <v>116</v>
      </c>
      <c r="T33" s="5" t="s">
        <v>82</v>
      </c>
      <c r="U33" s="5" t="s">
        <v>93</v>
      </c>
      <c r="V33" s="5" t="s">
        <v>184</v>
      </c>
      <c r="W33" s="5" t="s">
        <v>98</v>
      </c>
      <c r="X33" s="5" t="s">
        <v>86</v>
      </c>
      <c r="Y33" s="5"/>
      <c r="Z33" s="5" t="s">
        <v>87</v>
      </c>
      <c r="AA33" s="5" t="s">
        <v>113</v>
      </c>
      <c r="AB33" s="5" t="s">
        <v>289</v>
      </c>
      <c r="AC33" s="5" t="s">
        <v>290</v>
      </c>
      <c r="AD33" s="5" t="s">
        <v>291</v>
      </c>
      <c r="AE33" s="5" t="s">
        <v>262</v>
      </c>
    </row>
    <row r="34" spans="1:31" x14ac:dyDescent="0.3">
      <c r="A34" s="4">
        <v>45608.584490740737</v>
      </c>
      <c r="B34" s="4">
        <v>45608.593912037039</v>
      </c>
      <c r="C34" s="5" t="s">
        <v>30</v>
      </c>
      <c r="D34" s="5" t="s">
        <v>185</v>
      </c>
      <c r="E34" s="5">
        <v>100</v>
      </c>
      <c r="F34" s="5">
        <v>813</v>
      </c>
      <c r="G34" s="5" t="b">
        <v>1</v>
      </c>
      <c r="H34" s="4">
        <v>45608.593912037039</v>
      </c>
      <c r="I34" s="5" t="s">
        <v>186</v>
      </c>
      <c r="J34" s="5"/>
      <c r="K34" s="5"/>
      <c r="L34" s="5"/>
      <c r="M34" s="5"/>
      <c r="N34" s="5">
        <v>42.255499999999998</v>
      </c>
      <c r="O34" s="5">
        <v>-71.771900000000002</v>
      </c>
      <c r="P34" s="5" t="s">
        <v>79</v>
      </c>
      <c r="Q34" s="5" t="s">
        <v>80</v>
      </c>
      <c r="R34" s="5">
        <v>1</v>
      </c>
      <c r="S34" s="5" t="s">
        <v>116</v>
      </c>
      <c r="T34" s="5" t="s">
        <v>82</v>
      </c>
      <c r="U34" s="5" t="s">
        <v>83</v>
      </c>
      <c r="V34" s="5" t="s">
        <v>187</v>
      </c>
      <c r="W34" s="5" t="s">
        <v>85</v>
      </c>
      <c r="X34" s="5" t="s">
        <v>95</v>
      </c>
      <c r="Y34" s="5"/>
      <c r="Z34" s="5" t="s">
        <v>140</v>
      </c>
      <c r="AA34" s="5" t="s">
        <v>113</v>
      </c>
      <c r="AB34" s="5" t="s">
        <v>279</v>
      </c>
      <c r="AC34" s="5" t="s">
        <v>244</v>
      </c>
      <c r="AD34" s="5" t="s">
        <v>287</v>
      </c>
      <c r="AE34" s="5" t="s">
        <v>260</v>
      </c>
    </row>
    <row r="35" spans="1:31" x14ac:dyDescent="0.3">
      <c r="A35" s="4">
        <v>45608.602233796293</v>
      </c>
      <c r="B35" s="4">
        <v>45608.612523148149</v>
      </c>
      <c r="C35" s="5" t="s">
        <v>30</v>
      </c>
      <c r="D35" s="5" t="s">
        <v>188</v>
      </c>
      <c r="E35" s="5">
        <v>100</v>
      </c>
      <c r="F35" s="5">
        <v>889</v>
      </c>
      <c r="G35" s="5" t="b">
        <v>1</v>
      </c>
      <c r="H35" s="4">
        <v>45608.612534722219</v>
      </c>
      <c r="I35" s="5" t="s">
        <v>189</v>
      </c>
      <c r="J35" s="5"/>
      <c r="K35" s="5"/>
      <c r="L35" s="5"/>
      <c r="M35" s="5"/>
      <c r="N35" s="5">
        <v>42.2821</v>
      </c>
      <c r="O35" s="5">
        <v>-71.8262</v>
      </c>
      <c r="P35" s="5" t="s">
        <v>79</v>
      </c>
      <c r="Q35" s="5" t="s">
        <v>80</v>
      </c>
      <c r="R35" s="5">
        <v>1</v>
      </c>
      <c r="S35" s="5" t="s">
        <v>116</v>
      </c>
      <c r="T35" s="5" t="s">
        <v>82</v>
      </c>
      <c r="U35" s="5" t="s">
        <v>83</v>
      </c>
      <c r="V35" s="5" t="s">
        <v>127</v>
      </c>
      <c r="W35" s="5" t="s">
        <v>98</v>
      </c>
      <c r="X35" s="5" t="s">
        <v>128</v>
      </c>
      <c r="Y35" s="5"/>
      <c r="Z35" s="5" t="s">
        <v>87</v>
      </c>
      <c r="AA35" s="5" t="s">
        <v>88</v>
      </c>
      <c r="AB35" s="5" t="s">
        <v>292</v>
      </c>
      <c r="AC35" s="5" t="s">
        <v>244</v>
      </c>
      <c r="AD35" s="5" t="s">
        <v>293</v>
      </c>
      <c r="AE35" s="5" t="s">
        <v>262</v>
      </c>
    </row>
    <row r="36" spans="1:31" x14ac:dyDescent="0.3">
      <c r="A36" s="4">
        <v>45608.618321759262</v>
      </c>
      <c r="B36" s="4">
        <v>45608.627175925925</v>
      </c>
      <c r="C36" s="5" t="s">
        <v>30</v>
      </c>
      <c r="D36" s="5" t="s">
        <v>190</v>
      </c>
      <c r="E36" s="5">
        <v>100</v>
      </c>
      <c r="F36" s="5">
        <v>765</v>
      </c>
      <c r="G36" s="5" t="b">
        <v>1</v>
      </c>
      <c r="H36" s="4">
        <v>45608.627175925925</v>
      </c>
      <c r="I36" s="5" t="s">
        <v>191</v>
      </c>
      <c r="J36" s="5"/>
      <c r="K36" s="5"/>
      <c r="L36" s="5"/>
      <c r="M36" s="5"/>
      <c r="N36" s="5">
        <v>42.2821</v>
      </c>
      <c r="O36" s="5">
        <v>-71.8262</v>
      </c>
      <c r="P36" s="5" t="s">
        <v>79</v>
      </c>
      <c r="Q36" s="5" t="s">
        <v>80</v>
      </c>
      <c r="R36" s="5">
        <v>1</v>
      </c>
      <c r="S36" s="5" t="s">
        <v>116</v>
      </c>
      <c r="T36" s="5" t="s">
        <v>192</v>
      </c>
      <c r="U36" s="5" t="s">
        <v>93</v>
      </c>
      <c r="V36" s="5" t="s">
        <v>193</v>
      </c>
      <c r="W36" s="5" t="s">
        <v>98</v>
      </c>
      <c r="X36" s="5" t="s">
        <v>86</v>
      </c>
      <c r="Y36" s="5"/>
      <c r="Z36" s="5" t="s">
        <v>87</v>
      </c>
      <c r="AA36" s="5" t="s">
        <v>88</v>
      </c>
      <c r="AB36" s="5" t="s">
        <v>294</v>
      </c>
      <c r="AC36" s="5" t="s">
        <v>244</v>
      </c>
      <c r="AD36" s="5" t="s">
        <v>292</v>
      </c>
      <c r="AE36" s="5" t="s">
        <v>246</v>
      </c>
    </row>
    <row r="37" spans="1:31" x14ac:dyDescent="0.3">
      <c r="A37" s="4">
        <v>45608.628229166665</v>
      </c>
      <c r="B37" s="4">
        <v>45608.638310185182</v>
      </c>
      <c r="C37" s="5" t="s">
        <v>30</v>
      </c>
      <c r="D37" s="5" t="s">
        <v>194</v>
      </c>
      <c r="E37" s="5">
        <v>100</v>
      </c>
      <c r="F37" s="5">
        <v>870</v>
      </c>
      <c r="G37" s="5" t="b">
        <v>1</v>
      </c>
      <c r="H37" s="4">
        <v>45608.638310185182</v>
      </c>
      <c r="I37" s="5" t="s">
        <v>195</v>
      </c>
      <c r="J37" s="5"/>
      <c r="K37" s="5"/>
      <c r="L37" s="5"/>
      <c r="M37" s="5"/>
      <c r="N37" s="5">
        <v>42.2821</v>
      </c>
      <c r="O37" s="5">
        <v>-71.8262</v>
      </c>
      <c r="P37" s="5" t="s">
        <v>79</v>
      </c>
      <c r="Q37" s="5" t="s">
        <v>80</v>
      </c>
      <c r="R37" s="5">
        <v>1</v>
      </c>
      <c r="S37" s="5" t="s">
        <v>116</v>
      </c>
      <c r="T37" s="5" t="s">
        <v>196</v>
      </c>
      <c r="U37" s="5" t="s">
        <v>93</v>
      </c>
      <c r="V37" s="5" t="s">
        <v>123</v>
      </c>
      <c r="W37" s="5" t="s">
        <v>85</v>
      </c>
      <c r="X37" s="5" t="s">
        <v>95</v>
      </c>
      <c r="Y37" s="5"/>
      <c r="Z37" s="5" t="s">
        <v>118</v>
      </c>
      <c r="AA37" s="5" t="s">
        <v>88</v>
      </c>
      <c r="AB37" s="5" t="s">
        <v>278</v>
      </c>
      <c r="AC37" s="5" t="s">
        <v>295</v>
      </c>
      <c r="AD37" s="5" t="s">
        <v>296</v>
      </c>
      <c r="AE37" s="5" t="s">
        <v>277</v>
      </c>
    </row>
    <row r="38" spans="1:31" x14ac:dyDescent="0.3">
      <c r="A38" s="4">
        <v>45608.628634259258</v>
      </c>
      <c r="B38" s="4">
        <v>45608.647407407407</v>
      </c>
      <c r="C38" s="5" t="s">
        <v>30</v>
      </c>
      <c r="D38" s="5" t="s">
        <v>197</v>
      </c>
      <c r="E38" s="5">
        <v>100</v>
      </c>
      <c r="F38" s="5">
        <v>1621</v>
      </c>
      <c r="G38" s="5" t="b">
        <v>1</v>
      </c>
      <c r="H38" s="4">
        <v>45608.647418981483</v>
      </c>
      <c r="I38" s="5" t="s">
        <v>198</v>
      </c>
      <c r="J38" s="5"/>
      <c r="K38" s="5"/>
      <c r="L38" s="5"/>
      <c r="M38" s="5"/>
      <c r="N38" s="5">
        <v>42.2821</v>
      </c>
      <c r="O38" s="5">
        <v>-71.8262</v>
      </c>
      <c r="P38" s="5" t="s">
        <v>79</v>
      </c>
      <c r="Q38" s="5" t="s">
        <v>80</v>
      </c>
      <c r="R38" s="5">
        <v>1</v>
      </c>
      <c r="S38" s="5" t="s">
        <v>103</v>
      </c>
      <c r="T38" s="5">
        <v>131</v>
      </c>
      <c r="U38" s="5" t="s">
        <v>199</v>
      </c>
      <c r="V38" s="5" t="s">
        <v>200</v>
      </c>
      <c r="W38" s="5" t="s">
        <v>98</v>
      </c>
      <c r="X38" s="5" t="s">
        <v>86</v>
      </c>
      <c r="Y38" s="5"/>
      <c r="Z38" s="5" t="s">
        <v>118</v>
      </c>
      <c r="AA38" s="5" t="s">
        <v>201</v>
      </c>
      <c r="AB38" s="5" t="s">
        <v>297</v>
      </c>
      <c r="AC38" s="5" t="s">
        <v>287</v>
      </c>
      <c r="AD38" s="5" t="s">
        <v>294</v>
      </c>
      <c r="AE38" s="5" t="s">
        <v>262</v>
      </c>
    </row>
    <row r="39" spans="1:31" x14ac:dyDescent="0.3">
      <c r="A39" s="4">
        <v>45608.647083333337</v>
      </c>
      <c r="B39" s="4">
        <v>45608.65185185185</v>
      </c>
      <c r="C39" s="5" t="s">
        <v>30</v>
      </c>
      <c r="D39" s="5" t="s">
        <v>202</v>
      </c>
      <c r="E39" s="5">
        <v>100</v>
      </c>
      <c r="F39" s="5">
        <v>411</v>
      </c>
      <c r="G39" s="5" t="b">
        <v>1</v>
      </c>
      <c r="H39" s="4">
        <v>45608.651863425926</v>
      </c>
      <c r="I39" s="5" t="s">
        <v>203</v>
      </c>
      <c r="J39" s="5"/>
      <c r="K39" s="5"/>
      <c r="L39" s="5"/>
      <c r="M39" s="5"/>
      <c r="N39" s="5">
        <v>42.2821</v>
      </c>
      <c r="O39" s="5">
        <v>-71.8262</v>
      </c>
      <c r="P39" s="5" t="s">
        <v>79</v>
      </c>
      <c r="Q39" s="5" t="s">
        <v>80</v>
      </c>
      <c r="R39" s="5">
        <v>1</v>
      </c>
      <c r="S39" s="5" t="s">
        <v>91</v>
      </c>
      <c r="T39" s="5">
        <v>15.4</v>
      </c>
      <c r="U39" s="5" t="s">
        <v>93</v>
      </c>
      <c r="V39" s="5" t="s">
        <v>193</v>
      </c>
      <c r="W39" s="5" t="s">
        <v>98</v>
      </c>
      <c r="X39" s="5" t="s">
        <v>128</v>
      </c>
      <c r="Y39" s="5"/>
      <c r="Z39" s="5" t="s">
        <v>87</v>
      </c>
      <c r="AA39" s="5" t="s">
        <v>88</v>
      </c>
      <c r="AB39" s="5" t="s">
        <v>279</v>
      </c>
      <c r="AC39" s="5" t="s">
        <v>244</v>
      </c>
      <c r="AD39" s="5" t="s">
        <v>298</v>
      </c>
      <c r="AE39" s="5" t="s">
        <v>267</v>
      </c>
    </row>
    <row r="40" spans="1:31" x14ac:dyDescent="0.3">
      <c r="A40" s="4">
        <v>45608.685335648152</v>
      </c>
      <c r="B40" s="4">
        <v>45608.695451388892</v>
      </c>
      <c r="C40" s="5" t="s">
        <v>30</v>
      </c>
      <c r="D40" s="5" t="s">
        <v>204</v>
      </c>
      <c r="E40" s="5">
        <v>100</v>
      </c>
      <c r="F40" s="5">
        <v>874</v>
      </c>
      <c r="G40" s="5" t="b">
        <v>1</v>
      </c>
      <c r="H40" s="4">
        <v>45608.695462962962</v>
      </c>
      <c r="I40" s="5" t="s">
        <v>205</v>
      </c>
      <c r="J40" s="5"/>
      <c r="K40" s="5"/>
      <c r="L40" s="5"/>
      <c r="M40" s="5"/>
      <c r="N40" s="5">
        <v>39.289099999999998</v>
      </c>
      <c r="O40" s="5">
        <v>-76.558300000000003</v>
      </c>
      <c r="P40" s="5" t="s">
        <v>79</v>
      </c>
      <c r="Q40" s="5" t="s">
        <v>80</v>
      </c>
      <c r="R40" s="5">
        <v>1</v>
      </c>
      <c r="S40" s="5" t="s">
        <v>116</v>
      </c>
      <c r="T40" s="5" t="s">
        <v>82</v>
      </c>
      <c r="U40" s="5" t="s">
        <v>93</v>
      </c>
      <c r="V40" s="5" t="s">
        <v>123</v>
      </c>
      <c r="W40" s="5" t="s">
        <v>85</v>
      </c>
      <c r="X40" s="5" t="s">
        <v>86</v>
      </c>
      <c r="Y40" s="5"/>
      <c r="Z40" s="5" t="s">
        <v>87</v>
      </c>
      <c r="AA40" s="5" t="s">
        <v>88</v>
      </c>
      <c r="AB40" s="5" t="s">
        <v>266</v>
      </c>
      <c r="AC40" s="5" t="s">
        <v>244</v>
      </c>
      <c r="AD40" s="5" t="s">
        <v>289</v>
      </c>
      <c r="AE40" s="5" t="s">
        <v>299</v>
      </c>
    </row>
    <row r="41" spans="1:31" x14ac:dyDescent="0.3">
      <c r="A41" s="4">
        <v>45608.693819444445</v>
      </c>
      <c r="B41" s="4">
        <v>45608.706736111111</v>
      </c>
      <c r="C41" s="5" t="s">
        <v>30</v>
      </c>
      <c r="D41" s="5" t="s">
        <v>206</v>
      </c>
      <c r="E41" s="5">
        <v>100</v>
      </c>
      <c r="F41" s="5">
        <v>1116</v>
      </c>
      <c r="G41" s="5" t="b">
        <v>1</v>
      </c>
      <c r="H41" s="4">
        <v>45608.706747685188</v>
      </c>
      <c r="I41" s="5" t="s">
        <v>207</v>
      </c>
      <c r="J41" s="5"/>
      <c r="K41" s="5"/>
      <c r="L41" s="5"/>
      <c r="M41" s="5"/>
      <c r="N41" s="5">
        <v>42.247399999999999</v>
      </c>
      <c r="O41" s="5">
        <v>-71.806899999999999</v>
      </c>
      <c r="P41" s="5" t="s">
        <v>79</v>
      </c>
      <c r="Q41" s="5" t="s">
        <v>80</v>
      </c>
      <c r="R41" s="5">
        <v>1</v>
      </c>
      <c r="S41" s="5" t="s">
        <v>116</v>
      </c>
      <c r="T41" s="5" t="s">
        <v>82</v>
      </c>
      <c r="U41" s="5" t="s">
        <v>93</v>
      </c>
      <c r="V41" s="5" t="s">
        <v>123</v>
      </c>
      <c r="W41" s="5" t="s">
        <v>85</v>
      </c>
      <c r="X41" s="5" t="s">
        <v>86</v>
      </c>
      <c r="Y41" s="5"/>
      <c r="Z41" s="5" t="s">
        <v>118</v>
      </c>
      <c r="AA41" s="5" t="s">
        <v>88</v>
      </c>
      <c r="AB41" s="5" t="s">
        <v>290</v>
      </c>
      <c r="AC41" s="5" t="s">
        <v>300</v>
      </c>
      <c r="AD41" s="5" t="s">
        <v>301</v>
      </c>
      <c r="AE41" s="5" t="s">
        <v>262</v>
      </c>
    </row>
    <row r="42" spans="1:31" x14ac:dyDescent="0.3">
      <c r="A42" s="4">
        <v>45608.695613425924</v>
      </c>
      <c r="B42" s="4">
        <v>45608.709120370368</v>
      </c>
      <c r="C42" s="5" t="s">
        <v>30</v>
      </c>
      <c r="D42" s="5" t="s">
        <v>208</v>
      </c>
      <c r="E42" s="5">
        <v>100</v>
      </c>
      <c r="F42" s="5">
        <v>1167</v>
      </c>
      <c r="G42" s="5" t="b">
        <v>1</v>
      </c>
      <c r="H42" s="4">
        <v>45608.709131944444</v>
      </c>
      <c r="I42" s="5" t="s">
        <v>209</v>
      </c>
      <c r="J42" s="5"/>
      <c r="K42" s="5"/>
      <c r="L42" s="5"/>
      <c r="M42" s="5"/>
      <c r="N42" s="5">
        <v>42.290399999999998</v>
      </c>
      <c r="O42" s="5">
        <v>-71.071200000000005</v>
      </c>
      <c r="P42" s="5" t="s">
        <v>79</v>
      </c>
      <c r="Q42" s="5" t="s">
        <v>80</v>
      </c>
      <c r="R42" s="5">
        <v>1</v>
      </c>
      <c r="S42" s="5" t="s">
        <v>116</v>
      </c>
      <c r="T42" s="5" t="s">
        <v>82</v>
      </c>
      <c r="U42" s="5" t="s">
        <v>83</v>
      </c>
      <c r="V42" s="5" t="s">
        <v>210</v>
      </c>
      <c r="W42" s="5" t="s">
        <v>98</v>
      </c>
      <c r="X42" s="5" t="s">
        <v>128</v>
      </c>
      <c r="Y42" s="5"/>
      <c r="Z42" s="5" t="s">
        <v>87</v>
      </c>
      <c r="AA42" s="5" t="s">
        <v>88</v>
      </c>
      <c r="AB42" s="5" t="s">
        <v>256</v>
      </c>
      <c r="AC42" s="5" t="s">
        <v>244</v>
      </c>
      <c r="AD42" s="5" t="s">
        <v>246</v>
      </c>
      <c r="AE42" s="5" t="s">
        <v>246</v>
      </c>
    </row>
    <row r="43" spans="1:31" x14ac:dyDescent="0.3">
      <c r="A43" s="4">
        <v>45608.661909722221</v>
      </c>
      <c r="B43" s="4">
        <v>45608.719456018516</v>
      </c>
      <c r="C43" s="5" t="s">
        <v>30</v>
      </c>
      <c r="D43" s="5" t="s">
        <v>211</v>
      </c>
      <c r="E43" s="5">
        <v>100</v>
      </c>
      <c r="F43" s="5">
        <v>4971</v>
      </c>
      <c r="G43" s="5" t="b">
        <v>1</v>
      </c>
      <c r="H43" s="4">
        <v>45608.719456018516</v>
      </c>
      <c r="I43" s="5" t="s">
        <v>212</v>
      </c>
      <c r="J43" s="5"/>
      <c r="K43" s="5"/>
      <c r="L43" s="5"/>
      <c r="M43" s="5"/>
      <c r="N43" s="5">
        <v>42.2821</v>
      </c>
      <c r="O43" s="5">
        <v>-71.8262</v>
      </c>
      <c r="P43" s="5" t="s">
        <v>79</v>
      </c>
      <c r="Q43" s="5" t="s">
        <v>80</v>
      </c>
      <c r="R43" s="5">
        <v>1</v>
      </c>
      <c r="S43" s="5" t="s">
        <v>116</v>
      </c>
      <c r="T43" s="5" t="s">
        <v>82</v>
      </c>
      <c r="U43" s="5" t="s">
        <v>83</v>
      </c>
      <c r="V43" s="5" t="s">
        <v>213</v>
      </c>
      <c r="W43" s="5" t="s">
        <v>98</v>
      </c>
      <c r="X43" s="5" t="s">
        <v>128</v>
      </c>
      <c r="Y43" s="5"/>
      <c r="Z43" s="5" t="s">
        <v>87</v>
      </c>
      <c r="AA43" s="5" t="s">
        <v>113</v>
      </c>
      <c r="AB43" s="5" t="s">
        <v>277</v>
      </c>
      <c r="AC43" s="5" t="s">
        <v>247</v>
      </c>
      <c r="AD43" s="5" t="s">
        <v>277</v>
      </c>
      <c r="AE43" s="5" t="s">
        <v>278</v>
      </c>
    </row>
    <row r="44" spans="1:31" x14ac:dyDescent="0.3">
      <c r="A44" s="4">
        <v>45608.761365740742</v>
      </c>
      <c r="B44" s="4">
        <v>45608.777326388888</v>
      </c>
      <c r="C44" s="5" t="s">
        <v>30</v>
      </c>
      <c r="D44" s="5" t="s">
        <v>214</v>
      </c>
      <c r="E44" s="5">
        <v>100</v>
      </c>
      <c r="F44" s="5">
        <v>1378</v>
      </c>
      <c r="G44" s="5" t="b">
        <v>1</v>
      </c>
      <c r="H44" s="4">
        <v>45608.777326388888</v>
      </c>
      <c r="I44" s="5" t="s">
        <v>215</v>
      </c>
      <c r="J44" s="5"/>
      <c r="K44" s="5"/>
      <c r="L44" s="5"/>
      <c r="M44" s="5"/>
      <c r="N44" s="5">
        <v>42.255499999999998</v>
      </c>
      <c r="O44" s="5">
        <v>-71.771900000000002</v>
      </c>
      <c r="P44" s="5" t="s">
        <v>79</v>
      </c>
      <c r="Q44" s="5" t="s">
        <v>80</v>
      </c>
      <c r="R44" s="5">
        <v>1</v>
      </c>
      <c r="S44" s="5" t="s">
        <v>81</v>
      </c>
      <c r="T44" s="5" t="s">
        <v>82</v>
      </c>
      <c r="U44" s="5" t="s">
        <v>83</v>
      </c>
      <c r="V44" s="5" t="s">
        <v>151</v>
      </c>
      <c r="W44" s="5" t="s">
        <v>98</v>
      </c>
      <c r="X44" s="5" t="s">
        <v>86</v>
      </c>
      <c r="Y44" s="5"/>
      <c r="Z44" s="5" t="s">
        <v>140</v>
      </c>
      <c r="AA44" s="5" t="s">
        <v>216</v>
      </c>
      <c r="AB44" s="5" t="s">
        <v>262</v>
      </c>
      <c r="AC44" s="5" t="s">
        <v>290</v>
      </c>
      <c r="AD44" s="5" t="s">
        <v>260</v>
      </c>
      <c r="AE44" s="5" t="s">
        <v>302</v>
      </c>
    </row>
    <row r="45" spans="1:31" x14ac:dyDescent="0.3">
      <c r="A45" s="4">
        <v>45608.814849537041</v>
      </c>
      <c r="B45" s="4">
        <v>45608.869398148148</v>
      </c>
      <c r="C45" s="5" t="s">
        <v>30</v>
      </c>
      <c r="D45" s="5" t="s">
        <v>217</v>
      </c>
      <c r="E45" s="5">
        <v>100</v>
      </c>
      <c r="F45" s="5">
        <v>4713</v>
      </c>
      <c r="G45" s="5" t="b">
        <v>1</v>
      </c>
      <c r="H45" s="4">
        <v>45608.869409722225</v>
      </c>
      <c r="I45" s="5" t="s">
        <v>218</v>
      </c>
      <c r="J45" s="5"/>
      <c r="K45" s="5"/>
      <c r="L45" s="5"/>
      <c r="M45" s="5"/>
      <c r="N45" s="5">
        <v>42.397300000000001</v>
      </c>
      <c r="O45" s="5">
        <v>-71.037199999999999</v>
      </c>
      <c r="P45" s="5" t="s">
        <v>79</v>
      </c>
      <c r="Q45" s="5" t="s">
        <v>80</v>
      </c>
      <c r="R45" s="5">
        <v>1</v>
      </c>
      <c r="S45" s="5" t="s">
        <v>219</v>
      </c>
      <c r="T45" s="5" t="s">
        <v>220</v>
      </c>
      <c r="U45" s="5" t="s">
        <v>83</v>
      </c>
      <c r="V45" s="5" t="s">
        <v>131</v>
      </c>
      <c r="W45" s="5" t="s">
        <v>98</v>
      </c>
      <c r="X45" s="5" t="s">
        <v>86</v>
      </c>
      <c r="Y45" s="5"/>
      <c r="Z45" s="5" t="s">
        <v>87</v>
      </c>
      <c r="AA45" s="5" t="s">
        <v>113</v>
      </c>
      <c r="AB45" s="5" t="s">
        <v>260</v>
      </c>
      <c r="AC45" s="5" t="s">
        <v>244</v>
      </c>
      <c r="AD45" s="5" t="s">
        <v>255</v>
      </c>
      <c r="AE45" s="5" t="s">
        <v>262</v>
      </c>
    </row>
    <row r="46" spans="1:31" x14ac:dyDescent="0.3">
      <c r="A46" s="4">
        <v>45608.874780092592</v>
      </c>
      <c r="B46" s="4">
        <v>45608.887395833335</v>
      </c>
      <c r="C46" s="5" t="s">
        <v>30</v>
      </c>
      <c r="D46" s="5" t="s">
        <v>221</v>
      </c>
      <c r="E46" s="5">
        <v>100</v>
      </c>
      <c r="F46" s="5">
        <v>1089</v>
      </c>
      <c r="G46" s="5" t="b">
        <v>1</v>
      </c>
      <c r="H46" s="4">
        <v>45608.887395833335</v>
      </c>
      <c r="I46" s="5" t="s">
        <v>222</v>
      </c>
      <c r="J46" s="5"/>
      <c r="K46" s="5"/>
      <c r="L46" s="5"/>
      <c r="M46" s="5"/>
      <c r="N46" s="5">
        <v>42.2821</v>
      </c>
      <c r="O46" s="5">
        <v>-71.8262</v>
      </c>
      <c r="P46" s="5" t="s">
        <v>79</v>
      </c>
      <c r="Q46" s="5" t="s">
        <v>80</v>
      </c>
      <c r="R46" s="5">
        <v>1</v>
      </c>
      <c r="S46" s="5" t="s">
        <v>116</v>
      </c>
      <c r="T46" s="5" t="s">
        <v>82</v>
      </c>
      <c r="U46" s="5" t="s">
        <v>93</v>
      </c>
      <c r="V46" s="5" t="s">
        <v>134</v>
      </c>
      <c r="W46" s="5" t="s">
        <v>98</v>
      </c>
      <c r="X46" s="5" t="s">
        <v>95</v>
      </c>
      <c r="Y46" s="5"/>
      <c r="Z46" s="5" t="s">
        <v>140</v>
      </c>
      <c r="AA46" s="5" t="s">
        <v>88</v>
      </c>
      <c r="AB46" s="5" t="s">
        <v>246</v>
      </c>
      <c r="AC46" s="5" t="s">
        <v>292</v>
      </c>
      <c r="AD46" s="5" t="s">
        <v>244</v>
      </c>
      <c r="AE46" s="5" t="s">
        <v>246</v>
      </c>
    </row>
    <row r="47" spans="1:31" x14ac:dyDescent="0.3">
      <c r="A47" s="4">
        <v>45608.969212962962</v>
      </c>
      <c r="B47" s="4">
        <v>45608.988298611112</v>
      </c>
      <c r="C47" s="5" t="s">
        <v>30</v>
      </c>
      <c r="D47" s="5" t="s">
        <v>114</v>
      </c>
      <c r="E47" s="5">
        <v>100</v>
      </c>
      <c r="F47" s="5">
        <v>1648</v>
      </c>
      <c r="G47" s="5" t="b">
        <v>1</v>
      </c>
      <c r="H47" s="4">
        <v>45608.988310185188</v>
      </c>
      <c r="I47" s="5" t="s">
        <v>223</v>
      </c>
      <c r="J47" s="5"/>
      <c r="K47" s="5"/>
      <c r="L47" s="5"/>
      <c r="M47" s="5"/>
      <c r="N47" s="5">
        <v>42.262</v>
      </c>
      <c r="O47" s="5">
        <v>-71.800700000000006</v>
      </c>
      <c r="P47" s="5" t="s">
        <v>79</v>
      </c>
      <c r="Q47" s="5" t="s">
        <v>80</v>
      </c>
      <c r="R47" s="5">
        <v>1</v>
      </c>
      <c r="S47" s="5" t="s">
        <v>81</v>
      </c>
      <c r="T47" s="5" t="s">
        <v>82</v>
      </c>
      <c r="U47" s="5" t="s">
        <v>83</v>
      </c>
      <c r="V47" s="5" t="s">
        <v>120</v>
      </c>
      <c r="W47" s="5" t="s">
        <v>85</v>
      </c>
      <c r="X47" s="5" t="s">
        <v>95</v>
      </c>
      <c r="Y47" s="5"/>
      <c r="Z47" s="5" t="s">
        <v>118</v>
      </c>
      <c r="AA47" s="5" t="s">
        <v>216</v>
      </c>
      <c r="AB47" s="5" t="s">
        <v>245</v>
      </c>
      <c r="AC47" s="5" t="s">
        <v>244</v>
      </c>
      <c r="AD47" s="5" t="s">
        <v>244</v>
      </c>
      <c r="AE47" s="5" t="s">
        <v>262</v>
      </c>
    </row>
    <row r="48" spans="1:31" x14ac:dyDescent="0.3">
      <c r="A48" s="4">
        <v>45609.568807870368</v>
      </c>
      <c r="B48" s="4">
        <v>45609.582002314812</v>
      </c>
      <c r="C48" s="5" t="s">
        <v>30</v>
      </c>
      <c r="D48" s="5" t="s">
        <v>224</v>
      </c>
      <c r="E48" s="5">
        <v>100</v>
      </c>
      <c r="F48" s="5">
        <v>1140</v>
      </c>
      <c r="G48" s="5" t="b">
        <v>1</v>
      </c>
      <c r="H48" s="4">
        <v>45609.582002314812</v>
      </c>
      <c r="I48" s="5" t="s">
        <v>225</v>
      </c>
      <c r="J48" s="5"/>
      <c r="K48" s="5"/>
      <c r="L48" s="5"/>
      <c r="M48" s="5"/>
      <c r="N48" s="5">
        <v>42.262</v>
      </c>
      <c r="O48" s="5">
        <v>-71.800700000000006</v>
      </c>
      <c r="P48" s="5" t="s">
        <v>79</v>
      </c>
      <c r="Q48" s="5" t="s">
        <v>80</v>
      </c>
      <c r="R48" s="5">
        <v>1</v>
      </c>
      <c r="S48" s="5" t="s">
        <v>116</v>
      </c>
      <c r="T48" s="5" t="s">
        <v>82</v>
      </c>
      <c r="U48" s="5" t="s">
        <v>83</v>
      </c>
      <c r="V48" s="5" t="s">
        <v>127</v>
      </c>
      <c r="W48" s="5" t="s">
        <v>85</v>
      </c>
      <c r="X48" s="5" t="s">
        <v>86</v>
      </c>
      <c r="Y48" s="5"/>
      <c r="Z48" s="5" t="s">
        <v>118</v>
      </c>
      <c r="AA48" s="5" t="s">
        <v>88</v>
      </c>
      <c r="AB48" s="5" t="s">
        <v>266</v>
      </c>
      <c r="AC48" s="5" t="s">
        <v>244</v>
      </c>
      <c r="AD48" s="5" t="s">
        <v>291</v>
      </c>
      <c r="AE48" s="5" t="s">
        <v>243</v>
      </c>
    </row>
    <row r="49" spans="1:31" x14ac:dyDescent="0.3">
      <c r="A49" s="4">
        <v>45600.476145833331</v>
      </c>
      <c r="B49" s="4">
        <v>45609.669641203705</v>
      </c>
      <c r="C49" s="5" t="s">
        <v>30</v>
      </c>
      <c r="D49" s="5" t="s">
        <v>226</v>
      </c>
      <c r="E49" s="5">
        <v>100</v>
      </c>
      <c r="F49" s="5">
        <v>794317</v>
      </c>
      <c r="G49" s="5" t="b">
        <v>1</v>
      </c>
      <c r="H49" s="4">
        <v>45609.669652777775</v>
      </c>
      <c r="I49" s="5" t="s">
        <v>227</v>
      </c>
      <c r="J49" s="5"/>
      <c r="K49" s="5"/>
      <c r="L49" s="5"/>
      <c r="M49" s="5"/>
      <c r="N49" s="5">
        <v>42.262</v>
      </c>
      <c r="O49" s="5">
        <v>-71.800700000000006</v>
      </c>
      <c r="P49" s="5" t="s">
        <v>79</v>
      </c>
      <c r="Q49" s="5" t="s">
        <v>80</v>
      </c>
      <c r="R49" s="5">
        <v>1</v>
      </c>
      <c r="S49" s="5" t="s">
        <v>116</v>
      </c>
      <c r="T49" s="5" t="s">
        <v>82</v>
      </c>
      <c r="U49" s="5" t="s">
        <v>83</v>
      </c>
      <c r="V49" s="5" t="s">
        <v>127</v>
      </c>
      <c r="W49" s="5" t="s">
        <v>85</v>
      </c>
      <c r="X49" s="5" t="s">
        <v>95</v>
      </c>
      <c r="Y49" s="5"/>
      <c r="Z49" s="5" t="s">
        <v>118</v>
      </c>
      <c r="AA49" s="5" t="s">
        <v>88</v>
      </c>
      <c r="AB49" s="5" t="s">
        <v>247</v>
      </c>
      <c r="AC49" s="5" t="s">
        <v>247</v>
      </c>
      <c r="AD49" s="5" t="s">
        <v>261</v>
      </c>
      <c r="AE49" s="5" t="s">
        <v>291</v>
      </c>
    </row>
    <row r="50" spans="1:31" x14ac:dyDescent="0.3">
      <c r="A50" s="4">
        <v>45610.347696759258</v>
      </c>
      <c r="B50" s="4">
        <v>45610.355949074074</v>
      </c>
      <c r="C50" s="5" t="s">
        <v>30</v>
      </c>
      <c r="D50" s="5" t="s">
        <v>162</v>
      </c>
      <c r="E50" s="5">
        <v>100</v>
      </c>
      <c r="F50" s="5">
        <v>712</v>
      </c>
      <c r="G50" s="5" t="b">
        <v>1</v>
      </c>
      <c r="H50" s="4">
        <v>45610.355949074074</v>
      </c>
      <c r="I50" s="5" t="s">
        <v>228</v>
      </c>
      <c r="J50" s="5"/>
      <c r="K50" s="5"/>
      <c r="L50" s="5"/>
      <c r="M50" s="5"/>
      <c r="N50" s="5">
        <v>42.247399999999999</v>
      </c>
      <c r="O50" s="5">
        <v>-71.806899999999999</v>
      </c>
      <c r="P50" s="5" t="s">
        <v>79</v>
      </c>
      <c r="Q50" s="5" t="s">
        <v>80</v>
      </c>
      <c r="R50" s="5">
        <v>1</v>
      </c>
      <c r="S50" s="5" t="s">
        <v>81</v>
      </c>
      <c r="T50" s="5" t="s">
        <v>82</v>
      </c>
      <c r="U50" s="5" t="s">
        <v>83</v>
      </c>
      <c r="V50" s="5" t="s">
        <v>120</v>
      </c>
      <c r="W50" s="5" t="s">
        <v>98</v>
      </c>
      <c r="X50" s="5" t="s">
        <v>86</v>
      </c>
      <c r="Y50" s="5"/>
      <c r="Z50" s="5" t="s">
        <v>140</v>
      </c>
      <c r="AA50" s="5" t="s">
        <v>229</v>
      </c>
      <c r="AB50" s="5" t="s">
        <v>257</v>
      </c>
      <c r="AC50" s="5" t="s">
        <v>258</v>
      </c>
      <c r="AD50" s="5" t="s">
        <v>287</v>
      </c>
      <c r="AE50" s="5" t="s">
        <v>256</v>
      </c>
    </row>
    <row r="51" spans="1:31" x14ac:dyDescent="0.3">
      <c r="A51" s="4">
        <v>45610.709988425922</v>
      </c>
      <c r="B51" s="4">
        <v>45610.711828703701</v>
      </c>
      <c r="C51" s="5" t="s">
        <v>30</v>
      </c>
      <c r="D51" s="5" t="s">
        <v>230</v>
      </c>
      <c r="E51" s="5">
        <v>100</v>
      </c>
      <c r="F51" s="5">
        <v>158</v>
      </c>
      <c r="G51" s="5" t="b">
        <v>1</v>
      </c>
      <c r="H51" s="4">
        <v>45610.711840277778</v>
      </c>
      <c r="I51" s="5" t="s">
        <v>231</v>
      </c>
      <c r="J51" s="5"/>
      <c r="K51" s="5"/>
      <c r="L51" s="5"/>
      <c r="M51" s="5"/>
      <c r="N51" s="5">
        <v>34.1676</v>
      </c>
      <c r="O51" s="5">
        <v>-118.3892</v>
      </c>
      <c r="P51" s="5" t="s">
        <v>79</v>
      </c>
      <c r="Q51" s="5" t="s">
        <v>80</v>
      </c>
      <c r="R51" s="5">
        <v>1</v>
      </c>
      <c r="S51" s="5" t="s">
        <v>103</v>
      </c>
      <c r="T51" s="5">
        <v>132</v>
      </c>
      <c r="U51" s="5" t="s">
        <v>93</v>
      </c>
      <c r="V51" s="5" t="s">
        <v>127</v>
      </c>
      <c r="W51" s="5" t="s">
        <v>85</v>
      </c>
      <c r="X51" s="5" t="s">
        <v>95</v>
      </c>
      <c r="Y51" s="5"/>
      <c r="Z51" s="5" t="s">
        <v>118</v>
      </c>
      <c r="AA51" s="5" t="s">
        <v>232</v>
      </c>
      <c r="AB51" s="5" t="s">
        <v>303</v>
      </c>
      <c r="AC51" s="5" t="s">
        <v>288</v>
      </c>
      <c r="AD51" s="5" t="s">
        <v>289</v>
      </c>
      <c r="AE51" s="5" t="s">
        <v>304</v>
      </c>
    </row>
    <row r="52" spans="1:31" x14ac:dyDescent="0.3">
      <c r="A52" s="4">
        <v>45611.023182870369</v>
      </c>
      <c r="B52" s="4">
        <v>45611.028981481482</v>
      </c>
      <c r="C52" s="5" t="s">
        <v>30</v>
      </c>
      <c r="D52" s="5" t="s">
        <v>1132</v>
      </c>
      <c r="E52" s="5">
        <v>100</v>
      </c>
      <c r="F52" s="5">
        <v>500</v>
      </c>
      <c r="G52" s="5" t="b">
        <v>1</v>
      </c>
      <c r="H52" s="4">
        <v>45611.028981481482</v>
      </c>
      <c r="I52" s="5" t="s">
        <v>1133</v>
      </c>
      <c r="J52" s="5"/>
      <c r="K52" s="5"/>
      <c r="L52" s="5"/>
      <c r="M52" s="5"/>
      <c r="N52" s="5">
        <v>42.270499999999998</v>
      </c>
      <c r="O52" s="5">
        <v>-71.844700000000003</v>
      </c>
      <c r="P52" s="5" t="s">
        <v>79</v>
      </c>
      <c r="Q52" s="5" t="s">
        <v>80</v>
      </c>
      <c r="R52" s="5">
        <v>1</v>
      </c>
      <c r="S52" s="5" t="s">
        <v>116</v>
      </c>
      <c r="T52" s="5" t="s">
        <v>196</v>
      </c>
      <c r="U52" s="5" t="s">
        <v>93</v>
      </c>
      <c r="V52" s="5" t="s">
        <v>123</v>
      </c>
      <c r="W52" s="5" t="s">
        <v>98</v>
      </c>
      <c r="X52" s="5" t="s">
        <v>95</v>
      </c>
      <c r="Y52" s="5"/>
      <c r="Z52" s="5" t="s">
        <v>118</v>
      </c>
      <c r="AA52" s="5" t="s">
        <v>113</v>
      </c>
      <c r="AB52" s="5" t="s">
        <v>1152</v>
      </c>
      <c r="AC52" s="5" t="s">
        <v>244</v>
      </c>
      <c r="AD52" s="5" t="s">
        <v>255</v>
      </c>
      <c r="AE52" s="5" t="s">
        <v>276</v>
      </c>
    </row>
    <row r="53" spans="1:31" x14ac:dyDescent="0.3">
      <c r="A53" s="4">
        <v>45611.491770833331</v>
      </c>
      <c r="B53" s="4">
        <v>45611.499861111108</v>
      </c>
      <c r="C53" s="5" t="s">
        <v>30</v>
      </c>
      <c r="D53" s="5" t="s">
        <v>1134</v>
      </c>
      <c r="E53" s="5">
        <v>100</v>
      </c>
      <c r="F53" s="5">
        <v>698</v>
      </c>
      <c r="G53" s="5" t="b">
        <v>1</v>
      </c>
      <c r="H53" s="4">
        <v>45611.499872685185</v>
      </c>
      <c r="I53" s="5" t="s">
        <v>1135</v>
      </c>
      <c r="J53" s="5"/>
      <c r="K53" s="5"/>
      <c r="L53" s="5"/>
      <c r="M53" s="5"/>
      <c r="N53" s="5">
        <v>42.262</v>
      </c>
      <c r="O53" s="5">
        <v>-71.800700000000006</v>
      </c>
      <c r="P53" s="5" t="s">
        <v>79</v>
      </c>
      <c r="Q53" s="5" t="s">
        <v>80</v>
      </c>
      <c r="R53" s="5">
        <v>1</v>
      </c>
      <c r="S53" s="5" t="s">
        <v>116</v>
      </c>
      <c r="T53" s="5" t="s">
        <v>82</v>
      </c>
      <c r="U53" s="5" t="s">
        <v>83</v>
      </c>
      <c r="V53" s="5" t="s">
        <v>131</v>
      </c>
      <c r="W53" s="5" t="s">
        <v>98</v>
      </c>
      <c r="X53" s="5" t="s">
        <v>95</v>
      </c>
      <c r="Y53" s="5"/>
      <c r="Z53" s="5" t="s">
        <v>118</v>
      </c>
      <c r="AA53" s="5" t="s">
        <v>170</v>
      </c>
      <c r="AB53" s="5" t="s">
        <v>277</v>
      </c>
      <c r="AC53" s="5" t="s">
        <v>244</v>
      </c>
      <c r="AD53" s="5" t="s">
        <v>253</v>
      </c>
      <c r="AE53" s="5" t="s">
        <v>268</v>
      </c>
    </row>
    <row r="54" spans="1:31" x14ac:dyDescent="0.3">
      <c r="A54" s="4">
        <v>45611.61515046296</v>
      </c>
      <c r="B54" s="4">
        <v>45611.627118055556</v>
      </c>
      <c r="C54" s="5" t="s">
        <v>30</v>
      </c>
      <c r="D54" s="5" t="s">
        <v>1136</v>
      </c>
      <c r="E54" s="5">
        <v>100</v>
      </c>
      <c r="F54" s="5">
        <v>1034</v>
      </c>
      <c r="G54" s="5" t="b">
        <v>1</v>
      </c>
      <c r="H54" s="4">
        <v>45611.627129629633</v>
      </c>
      <c r="I54" s="5" t="s">
        <v>1137</v>
      </c>
      <c r="J54" s="5"/>
      <c r="K54" s="5"/>
      <c r="L54" s="5"/>
      <c r="M54" s="5"/>
      <c r="N54" s="5">
        <v>42.337000000000003</v>
      </c>
      <c r="O54" s="5">
        <v>-71.209199999999996</v>
      </c>
      <c r="P54" s="5" t="s">
        <v>79</v>
      </c>
      <c r="Q54" s="5" t="s">
        <v>80</v>
      </c>
      <c r="R54" s="5">
        <v>1</v>
      </c>
      <c r="S54" s="5" t="s">
        <v>103</v>
      </c>
      <c r="T54" s="5">
        <v>131</v>
      </c>
      <c r="U54" s="5" t="s">
        <v>199</v>
      </c>
      <c r="V54" s="5" t="s">
        <v>123</v>
      </c>
      <c r="W54" s="5" t="s">
        <v>85</v>
      </c>
      <c r="X54" s="5" t="s">
        <v>95</v>
      </c>
      <c r="Y54" s="5"/>
      <c r="Z54" s="5" t="s">
        <v>87</v>
      </c>
      <c r="AA54" s="5" t="s">
        <v>1138</v>
      </c>
      <c r="AB54" s="5" t="s">
        <v>1153</v>
      </c>
      <c r="AC54" s="5" t="s">
        <v>244</v>
      </c>
      <c r="AD54" s="5" t="s">
        <v>279</v>
      </c>
      <c r="AE54" s="5" t="s">
        <v>262</v>
      </c>
    </row>
    <row r="55" spans="1:31" x14ac:dyDescent="0.3">
      <c r="A55" s="4">
        <v>45611.848032407404</v>
      </c>
      <c r="B55" s="4">
        <v>45611.865451388891</v>
      </c>
      <c r="C55" s="5" t="s">
        <v>30</v>
      </c>
      <c r="D55" s="5" t="s">
        <v>1139</v>
      </c>
      <c r="E55" s="5">
        <v>100</v>
      </c>
      <c r="F55" s="5">
        <v>1505</v>
      </c>
      <c r="G55" s="5" t="b">
        <v>1</v>
      </c>
      <c r="H55" s="4">
        <v>45611.86546296296</v>
      </c>
      <c r="I55" s="5" t="s">
        <v>1140</v>
      </c>
      <c r="J55" s="5"/>
      <c r="K55" s="5"/>
      <c r="L55" s="5"/>
      <c r="M55" s="5"/>
      <c r="N55" s="5">
        <v>42.255499999999998</v>
      </c>
      <c r="O55" s="5">
        <v>-71.771900000000002</v>
      </c>
      <c r="P55" s="5" t="s">
        <v>79</v>
      </c>
      <c r="Q55" s="5" t="s">
        <v>80</v>
      </c>
      <c r="R55" s="5">
        <v>1</v>
      </c>
      <c r="S55" s="5" t="s">
        <v>116</v>
      </c>
      <c r="T55" s="5" t="s">
        <v>82</v>
      </c>
      <c r="U55" s="5" t="s">
        <v>93</v>
      </c>
      <c r="V55" s="5" t="s">
        <v>127</v>
      </c>
      <c r="W55" s="5" t="s">
        <v>98</v>
      </c>
      <c r="X55" s="5" t="s">
        <v>128</v>
      </c>
      <c r="Y55" s="5"/>
      <c r="Z55" s="5" t="s">
        <v>87</v>
      </c>
      <c r="AA55" s="5" t="s">
        <v>88</v>
      </c>
      <c r="AB55" s="5" t="s">
        <v>257</v>
      </c>
      <c r="AC55" s="5" t="s">
        <v>244</v>
      </c>
      <c r="AD55" s="5" t="s">
        <v>256</v>
      </c>
      <c r="AE55" s="5" t="s">
        <v>246</v>
      </c>
    </row>
    <row r="56" spans="1:31" x14ac:dyDescent="0.3">
      <c r="A56" s="4">
        <v>45614.713206018518</v>
      </c>
      <c r="B56" s="4">
        <v>45614.715960648151</v>
      </c>
      <c r="C56" s="5" t="s">
        <v>30</v>
      </c>
      <c r="D56" s="5" t="s">
        <v>1141</v>
      </c>
      <c r="E56" s="5">
        <v>100</v>
      </c>
      <c r="F56" s="5">
        <v>238</v>
      </c>
      <c r="G56" s="5" t="b">
        <v>1</v>
      </c>
      <c r="H56" s="4">
        <v>45614.71597222222</v>
      </c>
      <c r="I56" s="5" t="s">
        <v>1142</v>
      </c>
      <c r="J56" s="5"/>
      <c r="K56" s="5"/>
      <c r="L56" s="5"/>
      <c r="M56" s="5"/>
      <c r="N56" s="5">
        <v>42.2821</v>
      </c>
      <c r="O56" s="5">
        <v>-71.8262</v>
      </c>
      <c r="P56" s="5" t="s">
        <v>79</v>
      </c>
      <c r="Q56" s="5" t="s">
        <v>80</v>
      </c>
      <c r="R56" s="5">
        <v>1</v>
      </c>
      <c r="S56" s="5" t="s">
        <v>116</v>
      </c>
      <c r="T56" s="5" t="s">
        <v>82</v>
      </c>
      <c r="U56" s="5" t="s">
        <v>93</v>
      </c>
      <c r="V56" s="5" t="s">
        <v>1143</v>
      </c>
      <c r="W56" s="5" t="s">
        <v>98</v>
      </c>
      <c r="X56" s="5" t="s">
        <v>86</v>
      </c>
      <c r="Y56" s="5"/>
      <c r="Z56" s="5" t="s">
        <v>118</v>
      </c>
      <c r="AA56" s="5" t="s">
        <v>1144</v>
      </c>
      <c r="AB56" s="5" t="s">
        <v>277</v>
      </c>
      <c r="AC56" s="5" t="s">
        <v>277</v>
      </c>
      <c r="AD56" s="5" t="s">
        <v>277</v>
      </c>
      <c r="AE56" s="5" t="s">
        <v>276</v>
      </c>
    </row>
    <row r="57" spans="1:31" x14ac:dyDescent="0.3">
      <c r="A57" s="4">
        <v>45615.628657407404</v>
      </c>
      <c r="B57" s="4">
        <v>45615.634722222225</v>
      </c>
      <c r="C57" s="5" t="s">
        <v>30</v>
      </c>
      <c r="D57" s="5" t="s">
        <v>1145</v>
      </c>
      <c r="E57" s="5">
        <v>100</v>
      </c>
      <c r="F57" s="5">
        <v>524</v>
      </c>
      <c r="G57" s="5" t="b">
        <v>1</v>
      </c>
      <c r="H57" s="4">
        <v>45615.634733796294</v>
      </c>
      <c r="I57" s="5" t="s">
        <v>1146</v>
      </c>
      <c r="J57" s="5"/>
      <c r="K57" s="5"/>
      <c r="L57" s="5"/>
      <c r="M57" s="5"/>
      <c r="N57" s="5">
        <v>42.2821</v>
      </c>
      <c r="O57" s="5">
        <v>-71.8262</v>
      </c>
      <c r="P57" s="5" t="s">
        <v>79</v>
      </c>
      <c r="Q57" s="5" t="s">
        <v>80</v>
      </c>
      <c r="R57" s="5">
        <v>1</v>
      </c>
      <c r="S57" s="5" t="s">
        <v>116</v>
      </c>
      <c r="T57" s="5" t="s">
        <v>82</v>
      </c>
      <c r="U57" s="5" t="s">
        <v>93</v>
      </c>
      <c r="V57" s="5" t="s">
        <v>123</v>
      </c>
      <c r="W57" s="5" t="s">
        <v>98</v>
      </c>
      <c r="X57" s="5" t="s">
        <v>86</v>
      </c>
      <c r="Y57" s="5"/>
      <c r="Z57" s="5" t="s">
        <v>87</v>
      </c>
      <c r="AA57" s="5" t="s">
        <v>1147</v>
      </c>
      <c r="AB57" s="5" t="s">
        <v>258</v>
      </c>
      <c r="AC57" s="5" t="s">
        <v>278</v>
      </c>
      <c r="AD57" s="5" t="s">
        <v>278</v>
      </c>
      <c r="AE57" s="5" t="s">
        <v>251</v>
      </c>
    </row>
    <row r="58" spans="1:31" x14ac:dyDescent="0.3">
      <c r="A58" s="4">
        <v>45615.626203703701</v>
      </c>
      <c r="B58" s="4">
        <v>45615.647037037037</v>
      </c>
      <c r="C58" s="5" t="s">
        <v>30</v>
      </c>
      <c r="D58" s="5" t="s">
        <v>1148</v>
      </c>
      <c r="E58" s="5">
        <v>100</v>
      </c>
      <c r="F58" s="5">
        <v>1799</v>
      </c>
      <c r="G58" s="5" t="b">
        <v>1</v>
      </c>
      <c r="H58" s="4">
        <v>45615.647037037037</v>
      </c>
      <c r="I58" s="5" t="s">
        <v>1149</v>
      </c>
      <c r="J58" s="5"/>
      <c r="K58" s="5"/>
      <c r="L58" s="5"/>
      <c r="M58" s="5"/>
      <c r="N58" s="5">
        <v>42.2821</v>
      </c>
      <c r="O58" s="5">
        <v>-71.8262</v>
      </c>
      <c r="P58" s="5" t="s">
        <v>79</v>
      </c>
      <c r="Q58" s="5" t="s">
        <v>80</v>
      </c>
      <c r="R58" s="5">
        <v>0.69999998807907104</v>
      </c>
      <c r="S58" s="5" t="s">
        <v>116</v>
      </c>
      <c r="T58" s="5" t="s">
        <v>1150</v>
      </c>
      <c r="U58" s="5" t="s">
        <v>83</v>
      </c>
      <c r="V58" s="5" t="s">
        <v>1151</v>
      </c>
      <c r="W58" s="5" t="s">
        <v>98</v>
      </c>
      <c r="X58" s="5" t="s">
        <v>95</v>
      </c>
      <c r="Y58" s="5"/>
      <c r="Z58" s="5" t="s">
        <v>118</v>
      </c>
      <c r="AA58" s="5" t="s">
        <v>175</v>
      </c>
      <c r="AB58" s="5" t="s">
        <v>271</v>
      </c>
      <c r="AC58" s="5" t="s">
        <v>244</v>
      </c>
      <c r="AD58" s="5" t="s">
        <v>276</v>
      </c>
      <c r="AE58" s="5" t="s">
        <v>283</v>
      </c>
    </row>
    <row r="59" spans="1:31" x14ac:dyDescent="0.3">
      <c r="A59" s="4">
        <v>45643.680219907408</v>
      </c>
      <c r="B59" s="4">
        <v>45643.694212962961</v>
      </c>
      <c r="C59" s="5" t="s">
        <v>30</v>
      </c>
      <c r="D59" s="5" t="s">
        <v>185</v>
      </c>
      <c r="E59" s="5">
        <v>100</v>
      </c>
      <c r="F59" s="5">
        <v>1208</v>
      </c>
      <c r="G59" s="5" t="b">
        <v>1</v>
      </c>
      <c r="H59" s="4">
        <v>45643.694224537037</v>
      </c>
      <c r="I59" s="5" t="s">
        <v>1205</v>
      </c>
      <c r="J59" s="5"/>
      <c r="K59" s="5"/>
      <c r="L59" s="5"/>
      <c r="M59" s="5"/>
      <c r="N59" s="5">
        <v>42.255499999999998</v>
      </c>
      <c r="O59" s="5">
        <v>-71.771900000000002</v>
      </c>
      <c r="P59" s="5" t="s">
        <v>79</v>
      </c>
      <c r="Q59" s="5" t="s">
        <v>80</v>
      </c>
      <c r="R59" s="5">
        <v>1</v>
      </c>
      <c r="S59" s="5" t="s">
        <v>116</v>
      </c>
      <c r="T59" s="5" t="s">
        <v>1150</v>
      </c>
      <c r="U59" s="5" t="s">
        <v>83</v>
      </c>
      <c r="V59" s="5" t="s">
        <v>120</v>
      </c>
      <c r="W59" s="5" t="s">
        <v>85</v>
      </c>
      <c r="X59" s="5" t="s">
        <v>95</v>
      </c>
      <c r="Y59" s="5"/>
      <c r="Z59" s="5" t="s">
        <v>140</v>
      </c>
      <c r="AA59" s="5" t="s">
        <v>113</v>
      </c>
      <c r="AB59" s="5" t="s">
        <v>245</v>
      </c>
      <c r="AC59" s="5" t="s">
        <v>244</v>
      </c>
      <c r="AD59" s="5" t="s">
        <v>260</v>
      </c>
      <c r="AE59" s="5" t="s">
        <v>246</v>
      </c>
    </row>
    <row r="60" spans="1:31" x14ac:dyDescent="0.3">
      <c r="A60" s="4">
        <v>45643.67732638889</v>
      </c>
      <c r="B60" s="4">
        <v>45643.75172453704</v>
      </c>
      <c r="C60" s="5" t="s">
        <v>30</v>
      </c>
      <c r="D60" s="5" t="s">
        <v>206</v>
      </c>
      <c r="E60" s="5">
        <v>100</v>
      </c>
      <c r="F60" s="5">
        <v>6427</v>
      </c>
      <c r="G60" s="5" t="b">
        <v>1</v>
      </c>
      <c r="H60" s="4">
        <v>45643.751736111109</v>
      </c>
      <c r="I60" s="5" t="s">
        <v>1206</v>
      </c>
      <c r="J60" s="5"/>
      <c r="K60" s="5"/>
      <c r="L60" s="5"/>
      <c r="M60" s="5"/>
      <c r="N60" s="5">
        <v>42.255499999999998</v>
      </c>
      <c r="O60" s="5">
        <v>-71.771900000000002</v>
      </c>
      <c r="P60" s="5" t="s">
        <v>79</v>
      </c>
      <c r="Q60" s="5" t="s">
        <v>80</v>
      </c>
      <c r="R60" s="5">
        <v>1</v>
      </c>
      <c r="S60" s="5" t="s">
        <v>116</v>
      </c>
      <c r="T60" s="5" t="s">
        <v>1150</v>
      </c>
      <c r="U60" s="5" t="s">
        <v>93</v>
      </c>
      <c r="V60" s="5" t="s">
        <v>123</v>
      </c>
      <c r="W60" s="5" t="s">
        <v>85</v>
      </c>
      <c r="X60" s="5" t="s">
        <v>86</v>
      </c>
      <c r="Y60" s="5"/>
      <c r="Z60" s="5" t="s">
        <v>118</v>
      </c>
      <c r="AA60" s="5" t="s">
        <v>88</v>
      </c>
      <c r="AB60" s="5" t="s">
        <v>279</v>
      </c>
      <c r="AC60" s="5" t="s">
        <v>245</v>
      </c>
      <c r="AD60" s="5" t="s">
        <v>275</v>
      </c>
      <c r="AE60" s="5" t="s">
        <v>245</v>
      </c>
    </row>
    <row r="61" spans="1:31" x14ac:dyDescent="0.3">
      <c r="A61" s="4">
        <v>45644.462685185186</v>
      </c>
      <c r="B61" s="4">
        <v>45644.506724537037</v>
      </c>
      <c r="C61" s="5" t="s">
        <v>30</v>
      </c>
      <c r="D61" s="5" t="s">
        <v>1207</v>
      </c>
      <c r="E61" s="5">
        <v>100</v>
      </c>
      <c r="F61" s="5">
        <v>3805</v>
      </c>
      <c r="G61" s="5" t="b">
        <v>1</v>
      </c>
      <c r="H61" s="4">
        <v>45644.506736111114</v>
      </c>
      <c r="I61" s="5" t="s">
        <v>1208</v>
      </c>
      <c r="J61" s="5"/>
      <c r="K61" s="5"/>
      <c r="L61" s="5"/>
      <c r="M61" s="5"/>
      <c r="N61" s="5">
        <v>42.255499999999998</v>
      </c>
      <c r="O61" s="5">
        <v>-71.771900000000002</v>
      </c>
      <c r="P61" s="5" t="s">
        <v>79</v>
      </c>
      <c r="Q61" s="5" t="s">
        <v>80</v>
      </c>
      <c r="R61" s="5">
        <v>1</v>
      </c>
      <c r="S61" s="5" t="s">
        <v>81</v>
      </c>
      <c r="T61" s="5" t="s">
        <v>1150</v>
      </c>
      <c r="U61" s="5" t="s">
        <v>83</v>
      </c>
      <c r="V61" s="5" t="s">
        <v>120</v>
      </c>
      <c r="W61" s="5" t="s">
        <v>98</v>
      </c>
      <c r="X61" s="5" t="s">
        <v>86</v>
      </c>
      <c r="Y61" s="5"/>
      <c r="Z61" s="5" t="s">
        <v>140</v>
      </c>
      <c r="AA61" s="5" t="s">
        <v>216</v>
      </c>
      <c r="AB61" s="5" t="s">
        <v>279</v>
      </c>
      <c r="AC61" s="5" t="s">
        <v>244</v>
      </c>
      <c r="AD61" s="5" t="s">
        <v>260</v>
      </c>
      <c r="AE61" s="5" t="s">
        <v>257</v>
      </c>
    </row>
  </sheetData>
  <autoFilter ref="A1:AE51" xr:uid="{080FFB75-4EB6-45D2-BEFC-CC456CE6212E}"/>
  <conditionalFormatting sqref="F4:F58">
    <cfRule type="colorScale" priority="2">
      <colorScale>
        <cfvo type="min"/>
        <cfvo type="percentile" val="50"/>
        <cfvo type="max"/>
        <color rgb="FF63BE7B"/>
        <color rgb="FFFFEB84"/>
        <color rgb="FFF8696B"/>
      </colorScale>
    </cfRule>
  </conditionalFormatting>
  <conditionalFormatting sqref="F1:F1048576">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3753-AA83-43FC-BDB5-3B2AC00494EF}">
  <dimension ref="A1:CQ19"/>
  <sheetViews>
    <sheetView workbookViewId="0">
      <selection activeCell="CN22" sqref="CN22"/>
    </sheetView>
  </sheetViews>
  <sheetFormatPr defaultRowHeight="14.4" x14ac:dyDescent="0.3"/>
  <cols>
    <col min="1" max="1" width="55.109375" bestFit="1" customWidth="1"/>
    <col min="2" max="2" width="54.44140625" bestFit="1" customWidth="1"/>
    <col min="3" max="3" width="20.21875" bestFit="1" customWidth="1"/>
    <col min="4" max="4" width="24" bestFit="1" customWidth="1"/>
    <col min="5" max="5" width="22.6640625" bestFit="1" customWidth="1"/>
    <col min="6" max="6" width="22.5546875" bestFit="1" customWidth="1"/>
    <col min="7" max="7" width="22.21875" bestFit="1" customWidth="1"/>
    <col min="8" max="8" width="59.44140625" bestFit="1" customWidth="1"/>
    <col min="9" max="9" width="23.44140625" bestFit="1" customWidth="1"/>
    <col min="10" max="10" width="32.44140625" bestFit="1" customWidth="1"/>
    <col min="11" max="11" width="32.77734375" bestFit="1" customWidth="1"/>
    <col min="12" max="12" width="28.21875" bestFit="1" customWidth="1"/>
    <col min="13" max="13" width="36.33203125" bestFit="1" customWidth="1"/>
    <col min="14" max="14" width="29.88671875" bestFit="1" customWidth="1"/>
    <col min="15" max="15" width="31.44140625" bestFit="1" customWidth="1"/>
    <col min="16" max="16" width="33.6640625" bestFit="1" customWidth="1"/>
    <col min="17" max="17" width="27.6640625" bestFit="1" customWidth="1"/>
    <col min="18" max="18" width="32.44140625" bestFit="1" customWidth="1"/>
    <col min="19" max="19" width="38.88671875" bestFit="1" customWidth="1"/>
    <col min="20" max="20" width="38.33203125" bestFit="1" customWidth="1"/>
    <col min="21" max="21" width="47.88671875" bestFit="1" customWidth="1"/>
    <col min="22" max="22" width="41.109375" bestFit="1" customWidth="1"/>
    <col min="23" max="23" width="28.109375" bestFit="1" customWidth="1"/>
    <col min="24" max="24" width="73.6640625" bestFit="1" customWidth="1"/>
    <col min="25" max="25" width="85" bestFit="1" customWidth="1"/>
    <col min="26" max="26" width="50.44140625" bestFit="1" customWidth="1"/>
    <col min="27" max="27" width="42.44140625" bestFit="1" customWidth="1"/>
    <col min="28" max="28" width="46.6640625" bestFit="1" customWidth="1"/>
    <col min="29" max="29" width="46.6640625" customWidth="1"/>
    <col min="30" max="30" width="34.33203125" bestFit="1" customWidth="1"/>
    <col min="31" max="31" width="33.6640625" bestFit="1" customWidth="1"/>
    <col min="32" max="32" width="35.5546875" bestFit="1" customWidth="1"/>
    <col min="33" max="33" width="35.88671875" bestFit="1" customWidth="1"/>
    <col min="34" max="34" width="102" bestFit="1" customWidth="1"/>
    <col min="35" max="35" width="255.77734375" bestFit="1" customWidth="1"/>
    <col min="36" max="36" width="21.44140625" bestFit="1" customWidth="1"/>
    <col min="37" max="37" width="21.44140625" customWidth="1"/>
    <col min="38" max="38" width="34.33203125" bestFit="1" customWidth="1"/>
    <col min="39" max="39" width="33.6640625" bestFit="1" customWidth="1"/>
    <col min="40" max="40" width="35.5546875" bestFit="1" customWidth="1"/>
    <col min="41" max="41" width="35.88671875" bestFit="1" customWidth="1"/>
    <col min="42" max="42" width="102" bestFit="1" customWidth="1"/>
    <col min="43" max="43" width="255.77734375" bestFit="1" customWidth="1"/>
    <col min="44" max="44" width="78.21875" bestFit="1" customWidth="1"/>
    <col min="45" max="45" width="78.21875" customWidth="1"/>
    <col min="46" max="46" width="34.33203125" bestFit="1" customWidth="1"/>
    <col min="47" max="47" width="33.6640625" bestFit="1" customWidth="1"/>
    <col min="48" max="48" width="35.5546875" bestFit="1" customWidth="1"/>
    <col min="49" max="49" width="35.88671875" bestFit="1" customWidth="1"/>
    <col min="50" max="50" width="102" bestFit="1" customWidth="1"/>
    <col min="51" max="51" width="255.77734375" bestFit="1" customWidth="1"/>
    <col min="52" max="52" width="77.33203125" bestFit="1" customWidth="1"/>
    <col min="53" max="53" width="77.33203125" customWidth="1"/>
    <col min="54" max="54" width="34.33203125" bestFit="1" customWidth="1"/>
    <col min="55" max="55" width="33.6640625" bestFit="1" customWidth="1"/>
    <col min="56" max="56" width="35.5546875" bestFit="1" customWidth="1"/>
    <col min="57" max="57" width="35.88671875" bestFit="1" customWidth="1"/>
    <col min="58" max="58" width="102" bestFit="1" customWidth="1"/>
    <col min="59" max="59" width="204.5546875" bestFit="1" customWidth="1"/>
    <col min="60" max="60" width="21.44140625" bestFit="1" customWidth="1"/>
    <col min="61" max="61" width="21.44140625" customWidth="1"/>
    <col min="62" max="62" width="34.33203125" bestFit="1" customWidth="1"/>
    <col min="63" max="63" width="33.6640625" bestFit="1" customWidth="1"/>
    <col min="64" max="64" width="35.5546875" bestFit="1" customWidth="1"/>
    <col min="65" max="65" width="35.88671875" bestFit="1" customWidth="1"/>
    <col min="66" max="66" width="102" bestFit="1" customWidth="1"/>
    <col min="67" max="67" width="141.88671875" bestFit="1" customWidth="1"/>
    <col min="68" max="68" width="87.21875" bestFit="1" customWidth="1"/>
    <col min="69" max="69" width="87.21875" customWidth="1"/>
    <col min="70" max="70" width="34.33203125" bestFit="1" customWidth="1"/>
    <col min="71" max="71" width="33.6640625" bestFit="1" customWidth="1"/>
    <col min="72" max="72" width="35.5546875" bestFit="1" customWidth="1"/>
    <col min="73" max="73" width="35.88671875" bestFit="1" customWidth="1"/>
    <col min="74" max="74" width="102" bestFit="1" customWidth="1"/>
    <col min="75" max="75" width="154.6640625" bestFit="1" customWidth="1"/>
    <col min="76" max="76" width="21.44140625" bestFit="1" customWidth="1"/>
    <col min="77" max="77" width="21.44140625" customWidth="1"/>
    <col min="78" max="78" width="34.33203125" bestFit="1" customWidth="1"/>
    <col min="79" max="79" width="33.6640625" bestFit="1" customWidth="1"/>
    <col min="80" max="80" width="35.5546875" bestFit="1" customWidth="1"/>
    <col min="81" max="81" width="35.88671875" bestFit="1" customWidth="1"/>
    <col min="82" max="82" width="102" bestFit="1" customWidth="1"/>
    <col min="83" max="83" width="194.21875" bestFit="1" customWidth="1"/>
    <col min="84" max="84" width="21.44140625" bestFit="1" customWidth="1"/>
    <col min="85" max="85" width="21.44140625" customWidth="1"/>
    <col min="86" max="86" width="34.33203125" bestFit="1" customWidth="1"/>
    <col min="87" max="87" width="33.6640625" bestFit="1" customWidth="1"/>
    <col min="88" max="88" width="35.5546875" bestFit="1" customWidth="1"/>
    <col min="89" max="89" width="35.88671875" bestFit="1" customWidth="1"/>
    <col min="90" max="90" width="102" bestFit="1" customWidth="1"/>
    <col min="91" max="91" width="234.6640625" bestFit="1" customWidth="1"/>
    <col min="92" max="92" width="255.77734375" bestFit="1" customWidth="1"/>
    <col min="93" max="93" width="204.5546875" bestFit="1" customWidth="1"/>
    <col min="94" max="95" width="255.77734375" bestFit="1" customWidth="1"/>
  </cols>
  <sheetData>
    <row r="1" spans="1:95" s="1" customFormat="1"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305</v>
      </c>
      <c r="AC1" s="2" t="s">
        <v>1100</v>
      </c>
      <c r="AD1" s="2" t="s">
        <v>306</v>
      </c>
      <c r="AE1" s="2" t="s">
        <v>307</v>
      </c>
      <c r="AF1" s="2" t="s">
        <v>308</v>
      </c>
      <c r="AG1" s="2" t="s">
        <v>309</v>
      </c>
      <c r="AH1" s="2" t="s">
        <v>310</v>
      </c>
      <c r="AI1" s="2" t="s">
        <v>311</v>
      </c>
      <c r="AJ1" s="2" t="s">
        <v>312</v>
      </c>
      <c r="AK1" s="2" t="s">
        <v>1101</v>
      </c>
      <c r="AL1" s="2" t="s">
        <v>313</v>
      </c>
      <c r="AM1" s="2" t="s">
        <v>314</v>
      </c>
      <c r="AN1" s="2" t="s">
        <v>315</v>
      </c>
      <c r="AO1" s="2" t="s">
        <v>316</v>
      </c>
      <c r="AP1" s="2" t="s">
        <v>317</v>
      </c>
      <c r="AQ1" s="2" t="s">
        <v>318</v>
      </c>
      <c r="AR1" s="2" t="s">
        <v>319</v>
      </c>
      <c r="AS1" s="2" t="s">
        <v>1102</v>
      </c>
      <c r="AT1" s="2" t="s">
        <v>320</v>
      </c>
      <c r="AU1" s="2" t="s">
        <v>321</v>
      </c>
      <c r="AV1" s="2" t="s">
        <v>322</v>
      </c>
      <c r="AW1" s="2" t="s">
        <v>323</v>
      </c>
      <c r="AX1" s="2" t="s">
        <v>324</v>
      </c>
      <c r="AY1" s="2" t="s">
        <v>325</v>
      </c>
      <c r="AZ1" s="2" t="s">
        <v>326</v>
      </c>
      <c r="BA1" s="2" t="s">
        <v>1103</v>
      </c>
      <c r="BB1" s="2" t="s">
        <v>327</v>
      </c>
      <c r="BC1" s="2" t="s">
        <v>328</v>
      </c>
      <c r="BD1" s="2" t="s">
        <v>329</v>
      </c>
      <c r="BE1" s="2" t="s">
        <v>330</v>
      </c>
      <c r="BF1" s="2" t="s">
        <v>331</v>
      </c>
      <c r="BG1" s="2" t="s">
        <v>332</v>
      </c>
      <c r="BH1" s="2" t="s">
        <v>333</v>
      </c>
      <c r="BI1" s="2" t="s">
        <v>1104</v>
      </c>
      <c r="BJ1" s="2" t="s">
        <v>334</v>
      </c>
      <c r="BK1" s="2" t="s">
        <v>335</v>
      </c>
      <c r="BL1" s="2" t="s">
        <v>336</v>
      </c>
      <c r="BM1" s="2" t="s">
        <v>337</v>
      </c>
      <c r="BN1" s="2" t="s">
        <v>338</v>
      </c>
      <c r="BO1" s="2" t="s">
        <v>339</v>
      </c>
      <c r="BP1" s="2" t="s">
        <v>340</v>
      </c>
      <c r="BQ1" s="2" t="s">
        <v>1105</v>
      </c>
      <c r="BR1" s="2" t="s">
        <v>341</v>
      </c>
      <c r="BS1" s="2" t="s">
        <v>342</v>
      </c>
      <c r="BT1" s="2" t="s">
        <v>343</v>
      </c>
      <c r="BU1" s="2" t="s">
        <v>344</v>
      </c>
      <c r="BV1" s="2" t="s">
        <v>345</v>
      </c>
      <c r="BW1" s="2" t="s">
        <v>346</v>
      </c>
      <c r="BX1" s="2" t="s">
        <v>347</v>
      </c>
      <c r="BY1" s="2" t="s">
        <v>1106</v>
      </c>
      <c r="BZ1" s="2" t="s">
        <v>348</v>
      </c>
      <c r="CA1" s="2" t="s">
        <v>349</v>
      </c>
      <c r="CB1" s="2" t="s">
        <v>350</v>
      </c>
      <c r="CC1" s="2" t="s">
        <v>351</v>
      </c>
      <c r="CD1" s="2" t="s">
        <v>352</v>
      </c>
      <c r="CE1" s="2" t="s">
        <v>353</v>
      </c>
      <c r="CF1" s="2" t="s">
        <v>354</v>
      </c>
      <c r="CG1" s="2" t="s">
        <v>1107</v>
      </c>
      <c r="CH1" s="2" t="s">
        <v>355</v>
      </c>
      <c r="CI1" s="2" t="s">
        <v>356</v>
      </c>
      <c r="CJ1" s="2" t="s">
        <v>357</v>
      </c>
      <c r="CK1" s="2" t="s">
        <v>358</v>
      </c>
      <c r="CL1" s="2" t="s">
        <v>359</v>
      </c>
      <c r="CM1" s="2" t="s">
        <v>360</v>
      </c>
      <c r="CN1" s="2" t="s">
        <v>233</v>
      </c>
      <c r="CO1" s="2" t="s">
        <v>234</v>
      </c>
      <c r="CP1" s="2" t="s">
        <v>235</v>
      </c>
      <c r="CQ1" s="2" t="s">
        <v>236</v>
      </c>
    </row>
    <row r="2" spans="1:95" s="1" customFormat="1" ht="16.8" customHeight="1" x14ac:dyDescent="0.3">
      <c r="A2" s="2" t="s">
        <v>27</v>
      </c>
      <c r="B2" s="2" t="s">
        <v>28</v>
      </c>
      <c r="C2" s="2" t="s">
        <v>29</v>
      </c>
      <c r="D2" s="2" t="s">
        <v>30</v>
      </c>
      <c r="E2" s="2" t="s">
        <v>4</v>
      </c>
      <c r="F2" s="2" t="s">
        <v>5</v>
      </c>
      <c r="G2" s="2" t="s">
        <v>6</v>
      </c>
      <c r="H2" s="2" t="s">
        <v>31</v>
      </c>
      <c r="I2" s="2" t="s">
        <v>32</v>
      </c>
      <c r="J2" s="2" t="s">
        <v>33</v>
      </c>
      <c r="K2" s="2" t="s">
        <v>34</v>
      </c>
      <c r="L2" s="2" t="s">
        <v>35</v>
      </c>
      <c r="M2" s="2" t="s">
        <v>36</v>
      </c>
      <c r="N2" s="2" t="s">
        <v>37</v>
      </c>
      <c r="O2" s="2" t="s">
        <v>38</v>
      </c>
      <c r="P2" s="2" t="s">
        <v>39</v>
      </c>
      <c r="Q2" s="2" t="s">
        <v>40</v>
      </c>
      <c r="R2" s="2" t="s">
        <v>17</v>
      </c>
      <c r="S2" s="2" t="s">
        <v>41</v>
      </c>
      <c r="T2" s="2" t="s">
        <v>42</v>
      </c>
      <c r="U2" s="2" t="s">
        <v>43</v>
      </c>
      <c r="V2" s="2" t="s">
        <v>44</v>
      </c>
      <c r="W2" s="2" t="s">
        <v>45</v>
      </c>
      <c r="X2" s="2" t="s">
        <v>46</v>
      </c>
      <c r="Y2" s="2" t="s">
        <v>47</v>
      </c>
      <c r="Z2" s="2" t="s">
        <v>48</v>
      </c>
      <c r="AA2" s="2" t="s">
        <v>49</v>
      </c>
      <c r="AB2" s="2" t="s">
        <v>361</v>
      </c>
      <c r="AC2" s="2"/>
      <c r="AD2" s="2" t="s">
        <v>362</v>
      </c>
      <c r="AE2" s="2" t="s">
        <v>363</v>
      </c>
      <c r="AF2" s="2" t="s">
        <v>364</v>
      </c>
      <c r="AG2" s="2" t="s">
        <v>365</v>
      </c>
      <c r="AH2" s="2" t="s">
        <v>366</v>
      </c>
      <c r="AI2" s="2" t="s">
        <v>367</v>
      </c>
      <c r="AJ2" s="3" t="s">
        <v>368</v>
      </c>
      <c r="AK2" s="3"/>
      <c r="AL2" s="2" t="s">
        <v>362</v>
      </c>
      <c r="AM2" s="2" t="s">
        <v>363</v>
      </c>
      <c r="AN2" s="2" t="s">
        <v>364</v>
      </c>
      <c r="AO2" s="2" t="s">
        <v>365</v>
      </c>
      <c r="AP2" s="2" t="s">
        <v>366</v>
      </c>
      <c r="AQ2" s="2" t="s">
        <v>367</v>
      </c>
      <c r="AR2" s="2" t="s">
        <v>369</v>
      </c>
      <c r="AS2" s="2"/>
      <c r="AT2" s="2" t="s">
        <v>362</v>
      </c>
      <c r="AU2" s="2" t="s">
        <v>363</v>
      </c>
      <c r="AV2" s="2" t="s">
        <v>364</v>
      </c>
      <c r="AW2" s="2" t="s">
        <v>365</v>
      </c>
      <c r="AX2" s="2" t="s">
        <v>366</v>
      </c>
      <c r="AY2" s="2" t="s">
        <v>367</v>
      </c>
      <c r="AZ2" s="2" t="s">
        <v>370</v>
      </c>
      <c r="BA2" s="2"/>
      <c r="BB2" s="2" t="s">
        <v>362</v>
      </c>
      <c r="BC2" s="2" t="s">
        <v>363</v>
      </c>
      <c r="BD2" s="2" t="s">
        <v>364</v>
      </c>
      <c r="BE2" s="2" t="s">
        <v>365</v>
      </c>
      <c r="BF2" s="2" t="s">
        <v>366</v>
      </c>
      <c r="BG2" s="2" t="s">
        <v>367</v>
      </c>
      <c r="BH2" s="3" t="s">
        <v>371</v>
      </c>
      <c r="BI2" s="3"/>
      <c r="BJ2" s="2" t="s">
        <v>362</v>
      </c>
      <c r="BK2" s="2" t="s">
        <v>363</v>
      </c>
      <c r="BL2" s="2" t="s">
        <v>364</v>
      </c>
      <c r="BM2" s="2" t="s">
        <v>365</v>
      </c>
      <c r="BN2" s="2" t="s">
        <v>366</v>
      </c>
      <c r="BO2" s="2" t="s">
        <v>367</v>
      </c>
      <c r="BP2" s="2" t="s">
        <v>372</v>
      </c>
      <c r="BQ2" s="2"/>
      <c r="BR2" s="2" t="s">
        <v>362</v>
      </c>
      <c r="BS2" s="2" t="s">
        <v>363</v>
      </c>
      <c r="BT2" s="2" t="s">
        <v>364</v>
      </c>
      <c r="BU2" s="2" t="s">
        <v>365</v>
      </c>
      <c r="BV2" s="2" t="s">
        <v>366</v>
      </c>
      <c r="BW2" s="2" t="s">
        <v>367</v>
      </c>
      <c r="BX2" s="3" t="s">
        <v>373</v>
      </c>
      <c r="BY2" s="3"/>
      <c r="BZ2" s="2" t="s">
        <v>362</v>
      </c>
      <c r="CA2" s="2" t="s">
        <v>363</v>
      </c>
      <c r="CB2" s="2" t="s">
        <v>364</v>
      </c>
      <c r="CC2" s="2" t="s">
        <v>365</v>
      </c>
      <c r="CD2" s="2" t="s">
        <v>366</v>
      </c>
      <c r="CE2" s="2" t="s">
        <v>367</v>
      </c>
      <c r="CF2" s="3" t="s">
        <v>374</v>
      </c>
      <c r="CG2" s="3"/>
      <c r="CH2" s="2" t="s">
        <v>362</v>
      </c>
      <c r="CI2" s="2" t="s">
        <v>363</v>
      </c>
      <c r="CJ2" s="2" t="s">
        <v>364</v>
      </c>
      <c r="CK2" s="2" t="s">
        <v>365</v>
      </c>
      <c r="CL2" s="2" t="s">
        <v>366</v>
      </c>
      <c r="CM2" s="2" t="s">
        <v>367</v>
      </c>
      <c r="CN2" s="2" t="s">
        <v>237</v>
      </c>
      <c r="CO2" s="2" t="s">
        <v>237</v>
      </c>
      <c r="CP2" s="2" t="s">
        <v>238</v>
      </c>
      <c r="CQ2" s="2" t="s">
        <v>237</v>
      </c>
    </row>
    <row r="3" spans="1:95" s="1" customFormat="1" ht="15.6" x14ac:dyDescent="0.3">
      <c r="A3" s="2" t="s">
        <v>50</v>
      </c>
      <c r="B3" s="2" t="s">
        <v>51</v>
      </c>
      <c r="C3" s="2" t="s">
        <v>52</v>
      </c>
      <c r="D3" s="2" t="s">
        <v>53</v>
      </c>
      <c r="E3" s="2" t="s">
        <v>54</v>
      </c>
      <c r="F3" s="2" t="s">
        <v>55</v>
      </c>
      <c r="G3" s="2" t="s">
        <v>56</v>
      </c>
      <c r="H3" s="2" t="s">
        <v>57</v>
      </c>
      <c r="I3" s="2" t="s">
        <v>58</v>
      </c>
      <c r="J3" s="2" t="s">
        <v>59</v>
      </c>
      <c r="K3" s="2" t="s">
        <v>60</v>
      </c>
      <c r="L3" s="2" t="s">
        <v>61</v>
      </c>
      <c r="M3" s="2" t="s">
        <v>62</v>
      </c>
      <c r="N3" s="2" t="s">
        <v>63</v>
      </c>
      <c r="O3" s="2" t="s">
        <v>64</v>
      </c>
      <c r="P3" s="2" t="s">
        <v>65</v>
      </c>
      <c r="Q3" s="2" t="s">
        <v>66</v>
      </c>
      <c r="R3" s="2" t="s">
        <v>67</v>
      </c>
      <c r="S3" s="2" t="s">
        <v>68</v>
      </c>
      <c r="T3" s="2" t="s">
        <v>69</v>
      </c>
      <c r="U3" s="2" t="s">
        <v>70</v>
      </c>
      <c r="V3" s="2" t="s">
        <v>71</v>
      </c>
      <c r="W3" s="2" t="s">
        <v>72</v>
      </c>
      <c r="X3" s="2" t="s">
        <v>73</v>
      </c>
      <c r="Y3" s="2" t="s">
        <v>74</v>
      </c>
      <c r="Z3" s="2" t="s">
        <v>75</v>
      </c>
      <c r="AA3" s="2" t="s">
        <v>76</v>
      </c>
      <c r="AB3" s="2" t="s">
        <v>375</v>
      </c>
      <c r="AC3" s="2"/>
      <c r="AD3" s="2" t="s">
        <v>376</v>
      </c>
      <c r="AE3" s="2" t="s">
        <v>377</v>
      </c>
      <c r="AF3" s="2" t="s">
        <v>378</v>
      </c>
      <c r="AG3" s="2" t="s">
        <v>379</v>
      </c>
      <c r="AH3" s="2" t="s">
        <v>380</v>
      </c>
      <c r="AI3" s="2" t="s">
        <v>381</v>
      </c>
      <c r="AJ3" s="2" t="s">
        <v>382</v>
      </c>
      <c r="AK3" s="2"/>
      <c r="AL3" s="2" t="s">
        <v>383</v>
      </c>
      <c r="AM3" s="2" t="s">
        <v>384</v>
      </c>
      <c r="AN3" s="2" t="s">
        <v>385</v>
      </c>
      <c r="AO3" s="2" t="s">
        <v>386</v>
      </c>
      <c r="AP3" s="2" t="s">
        <v>387</v>
      </c>
      <c r="AQ3" s="2" t="s">
        <v>388</v>
      </c>
      <c r="AR3" s="2" t="s">
        <v>389</v>
      </c>
      <c r="AS3" s="2"/>
      <c r="AT3" s="2" t="s">
        <v>390</v>
      </c>
      <c r="AU3" s="2" t="s">
        <v>391</v>
      </c>
      <c r="AV3" s="2" t="s">
        <v>392</v>
      </c>
      <c r="AW3" s="2" t="s">
        <v>393</v>
      </c>
      <c r="AX3" s="2" t="s">
        <v>394</v>
      </c>
      <c r="AY3" s="2" t="s">
        <v>395</v>
      </c>
      <c r="AZ3" s="2" t="s">
        <v>396</v>
      </c>
      <c r="BA3" s="2"/>
      <c r="BB3" s="2" t="s">
        <v>397</v>
      </c>
      <c r="BC3" s="2" t="s">
        <v>398</v>
      </c>
      <c r="BD3" s="2" t="s">
        <v>399</v>
      </c>
      <c r="BE3" s="2" t="s">
        <v>400</v>
      </c>
      <c r="BF3" s="2" t="s">
        <v>401</v>
      </c>
      <c r="BG3" s="2" t="s">
        <v>402</v>
      </c>
      <c r="BH3" s="2" t="s">
        <v>403</v>
      </c>
      <c r="BI3" s="2"/>
      <c r="BJ3" s="2" t="s">
        <v>404</v>
      </c>
      <c r="BK3" s="2" t="s">
        <v>405</v>
      </c>
      <c r="BL3" s="2" t="s">
        <v>406</v>
      </c>
      <c r="BM3" s="2" t="s">
        <v>407</v>
      </c>
      <c r="BN3" s="2" t="s">
        <v>408</v>
      </c>
      <c r="BO3" s="2" t="s">
        <v>409</v>
      </c>
      <c r="BP3" s="2" t="s">
        <v>410</v>
      </c>
      <c r="BQ3" s="2"/>
      <c r="BR3" s="2" t="s">
        <v>411</v>
      </c>
      <c r="BS3" s="2" t="s">
        <v>412</v>
      </c>
      <c r="BT3" s="2" t="s">
        <v>413</v>
      </c>
      <c r="BU3" s="2" t="s">
        <v>414</v>
      </c>
      <c r="BV3" s="2" t="s">
        <v>415</v>
      </c>
      <c r="BW3" s="2" t="s">
        <v>416</v>
      </c>
      <c r="BX3" s="2" t="s">
        <v>417</v>
      </c>
      <c r="BY3" s="2"/>
      <c r="BZ3" s="2" t="s">
        <v>418</v>
      </c>
      <c r="CA3" s="2" t="s">
        <v>419</v>
      </c>
      <c r="CB3" s="2" t="s">
        <v>420</v>
      </c>
      <c r="CC3" s="2" t="s">
        <v>421</v>
      </c>
      <c r="CD3" s="2" t="s">
        <v>422</v>
      </c>
      <c r="CE3" s="2" t="s">
        <v>423</v>
      </c>
      <c r="CF3" s="2" t="s">
        <v>424</v>
      </c>
      <c r="CG3" s="2"/>
      <c r="CH3" s="2" t="s">
        <v>425</v>
      </c>
      <c r="CI3" s="2" t="s">
        <v>426</v>
      </c>
      <c r="CJ3" s="2" t="s">
        <v>427</v>
      </c>
      <c r="CK3" s="2" t="s">
        <v>428</v>
      </c>
      <c r="CL3" s="2" t="s">
        <v>429</v>
      </c>
      <c r="CM3" s="2" t="s">
        <v>430</v>
      </c>
      <c r="CN3" s="2" t="s">
        <v>239</v>
      </c>
      <c r="CO3" s="2" t="s">
        <v>240</v>
      </c>
      <c r="CP3" s="2" t="s">
        <v>241</v>
      </c>
      <c r="CQ3" s="2" t="s">
        <v>242</v>
      </c>
    </row>
    <row r="4" spans="1:95" x14ac:dyDescent="0.3">
      <c r="A4" s="4">
        <v>45600.481064814812</v>
      </c>
      <c r="B4" s="4">
        <v>45600.516388888886</v>
      </c>
      <c r="C4" s="5" t="s">
        <v>30</v>
      </c>
      <c r="D4" s="5" t="s">
        <v>89</v>
      </c>
      <c r="E4" s="5">
        <v>100</v>
      </c>
      <c r="F4" s="5">
        <v>3051</v>
      </c>
      <c r="G4" s="5" t="b">
        <v>1</v>
      </c>
      <c r="H4" s="4">
        <v>45600.516388888886</v>
      </c>
      <c r="I4" s="5" t="s">
        <v>90</v>
      </c>
      <c r="J4" s="5"/>
      <c r="K4" s="5"/>
      <c r="L4" s="5"/>
      <c r="M4" s="5"/>
      <c r="N4" s="5">
        <v>42.270499999999998</v>
      </c>
      <c r="O4" s="5">
        <v>-71.844700000000003</v>
      </c>
      <c r="P4" s="5" t="s">
        <v>79</v>
      </c>
      <c r="Q4" s="5" t="s">
        <v>80</v>
      </c>
      <c r="R4" s="5">
        <v>1</v>
      </c>
      <c r="S4" s="5" t="s">
        <v>91</v>
      </c>
      <c r="T4" s="5" t="s">
        <v>92</v>
      </c>
      <c r="U4" s="5" t="s">
        <v>93</v>
      </c>
      <c r="V4" s="5" t="s">
        <v>94</v>
      </c>
      <c r="W4" s="5" t="s">
        <v>85</v>
      </c>
      <c r="X4" s="5" t="s">
        <v>95</v>
      </c>
      <c r="Y4" s="5"/>
      <c r="Z4" s="5" t="s">
        <v>87</v>
      </c>
      <c r="AA4" s="5" t="s">
        <v>88</v>
      </c>
      <c r="AB4" s="5" t="s">
        <v>431</v>
      </c>
      <c r="AC4" s="5" t="s">
        <v>431</v>
      </c>
      <c r="AD4" s="5">
        <v>25.466999999999999</v>
      </c>
      <c r="AE4" s="5">
        <v>25.466999999999999</v>
      </c>
      <c r="AF4" s="5">
        <v>28.03</v>
      </c>
      <c r="AG4" s="5">
        <v>1</v>
      </c>
      <c r="AH4" s="5">
        <v>91</v>
      </c>
      <c r="AI4" s="5" t="s">
        <v>432</v>
      </c>
      <c r="AJ4" s="5" t="s">
        <v>431</v>
      </c>
      <c r="AK4" s="5" t="s">
        <v>431</v>
      </c>
      <c r="AL4" s="5">
        <v>101.925</v>
      </c>
      <c r="AM4" s="5">
        <v>101.925</v>
      </c>
      <c r="AN4" s="5">
        <v>126.036</v>
      </c>
      <c r="AO4" s="5">
        <v>1</v>
      </c>
      <c r="AP4" s="5">
        <v>85</v>
      </c>
      <c r="AQ4" s="5" t="s">
        <v>433</v>
      </c>
      <c r="AR4" s="5" t="s">
        <v>434</v>
      </c>
      <c r="AS4" s="5" t="s">
        <v>434</v>
      </c>
      <c r="AT4" s="5">
        <v>31.058</v>
      </c>
      <c r="AU4" s="5">
        <v>31.058</v>
      </c>
      <c r="AV4" s="5">
        <v>40.238999999999997</v>
      </c>
      <c r="AW4" s="5">
        <v>1</v>
      </c>
      <c r="AX4" s="5">
        <v>90</v>
      </c>
      <c r="AY4" s="5" t="s">
        <v>435</v>
      </c>
      <c r="AZ4" s="5" t="s">
        <v>434</v>
      </c>
      <c r="BA4" s="5" t="s">
        <v>434</v>
      </c>
      <c r="BB4" s="5">
        <v>71.376000000000005</v>
      </c>
      <c r="BC4" s="5">
        <v>71.376000000000005</v>
      </c>
      <c r="BD4" s="5">
        <v>138.17099999999999</v>
      </c>
      <c r="BE4" s="5">
        <v>1</v>
      </c>
      <c r="BF4" s="5">
        <v>71</v>
      </c>
      <c r="BG4" s="5" t="s">
        <v>436</v>
      </c>
      <c r="BH4" s="5" t="s">
        <v>434</v>
      </c>
      <c r="BI4" s="5" t="s">
        <v>431</v>
      </c>
      <c r="BJ4" s="5">
        <v>208.88900000000001</v>
      </c>
      <c r="BK4" s="5">
        <v>208.88900000000001</v>
      </c>
      <c r="BL4" s="5">
        <v>256.34100000000001</v>
      </c>
      <c r="BM4" s="5">
        <v>1</v>
      </c>
      <c r="BN4" s="5">
        <v>50</v>
      </c>
      <c r="BO4" s="5" t="s">
        <v>437</v>
      </c>
      <c r="BP4" s="5" t="s">
        <v>434</v>
      </c>
      <c r="BQ4" s="5" t="s">
        <v>431</v>
      </c>
      <c r="BR4" s="5">
        <v>96.739000000000004</v>
      </c>
      <c r="BS4" s="5">
        <v>96.739000000000004</v>
      </c>
      <c r="BT4" s="5">
        <v>117.498</v>
      </c>
      <c r="BU4" s="5">
        <v>1</v>
      </c>
      <c r="BV4" s="5">
        <v>70</v>
      </c>
      <c r="BW4" s="5" t="s">
        <v>438</v>
      </c>
      <c r="BX4" s="5" t="s">
        <v>431</v>
      </c>
      <c r="BY4" s="5" t="s">
        <v>434</v>
      </c>
      <c r="BZ4" s="5">
        <v>215.70400000000001</v>
      </c>
      <c r="CA4" s="5">
        <v>215.70400000000001</v>
      </c>
      <c r="CB4" s="5">
        <v>239.732</v>
      </c>
      <c r="CC4" s="5">
        <v>1</v>
      </c>
      <c r="CD4" s="5">
        <v>62</v>
      </c>
      <c r="CE4" s="5" t="s">
        <v>439</v>
      </c>
      <c r="CF4" s="5" t="s">
        <v>434</v>
      </c>
      <c r="CG4" s="5" t="s">
        <v>434</v>
      </c>
      <c r="CH4" s="5">
        <v>84.840999999999994</v>
      </c>
      <c r="CI4" s="5">
        <v>84.840999999999994</v>
      </c>
      <c r="CJ4" s="5">
        <v>93.046000000000006</v>
      </c>
      <c r="CK4" s="5">
        <v>1</v>
      </c>
      <c r="CL4" s="5">
        <v>60</v>
      </c>
      <c r="CM4" s="5" t="s">
        <v>440</v>
      </c>
      <c r="CN4" s="5" t="s">
        <v>244</v>
      </c>
      <c r="CO4" s="5" t="s">
        <v>247</v>
      </c>
      <c r="CP4" s="5" t="s">
        <v>247</v>
      </c>
      <c r="CQ4" s="5" t="s">
        <v>247</v>
      </c>
    </row>
    <row r="5" spans="1:95" x14ac:dyDescent="0.3">
      <c r="A5" s="4">
        <v>45607.451516203706</v>
      </c>
      <c r="B5" s="4">
        <v>45607.460497685184</v>
      </c>
      <c r="C5" s="5" t="s">
        <v>30</v>
      </c>
      <c r="D5" s="5" t="s">
        <v>110</v>
      </c>
      <c r="E5" s="5">
        <v>100</v>
      </c>
      <c r="F5" s="5">
        <v>775</v>
      </c>
      <c r="G5" s="5" t="b">
        <v>1</v>
      </c>
      <c r="H5" s="4">
        <v>45607.460497685184</v>
      </c>
      <c r="I5" s="5" t="s">
        <v>111</v>
      </c>
      <c r="J5" s="5"/>
      <c r="K5" s="5"/>
      <c r="L5" s="5"/>
      <c r="M5" s="5"/>
      <c r="N5" s="5">
        <v>42.262</v>
      </c>
      <c r="O5" s="5">
        <v>-71.800700000000006</v>
      </c>
      <c r="P5" s="5" t="s">
        <v>79</v>
      </c>
      <c r="Q5" s="5" t="s">
        <v>80</v>
      </c>
      <c r="R5" s="5">
        <v>1</v>
      </c>
      <c r="S5" s="5" t="s">
        <v>91</v>
      </c>
      <c r="T5" s="5">
        <v>18.100000000000001</v>
      </c>
      <c r="U5" s="5" t="s">
        <v>93</v>
      </c>
      <c r="V5" s="5" t="s">
        <v>112</v>
      </c>
      <c r="W5" s="5" t="s">
        <v>98</v>
      </c>
      <c r="X5" s="5" t="s">
        <v>86</v>
      </c>
      <c r="Y5" s="5"/>
      <c r="Z5" s="5" t="s">
        <v>87</v>
      </c>
      <c r="AA5" s="5" t="s">
        <v>113</v>
      </c>
      <c r="AB5" s="5" t="s">
        <v>431</v>
      </c>
      <c r="AC5" s="5" t="s">
        <v>431</v>
      </c>
      <c r="AD5" s="5">
        <v>9.8350000000000009</v>
      </c>
      <c r="AE5" s="5">
        <v>15.067</v>
      </c>
      <c r="AF5" s="5">
        <v>15.699</v>
      </c>
      <c r="AG5" s="5">
        <v>2</v>
      </c>
      <c r="AH5" s="5">
        <v>85</v>
      </c>
      <c r="AI5" s="5" t="s">
        <v>441</v>
      </c>
      <c r="AJ5" s="5" t="s">
        <v>431</v>
      </c>
      <c r="AK5" s="5" t="s">
        <v>431</v>
      </c>
      <c r="AL5" s="5">
        <v>27.408999999999999</v>
      </c>
      <c r="AM5" s="5">
        <v>28.55</v>
      </c>
      <c r="AN5" s="5">
        <v>29.847999999999999</v>
      </c>
      <c r="AO5" s="5">
        <v>4</v>
      </c>
      <c r="AP5" s="5">
        <v>90</v>
      </c>
      <c r="AQ5" s="5" t="s">
        <v>442</v>
      </c>
      <c r="AR5" s="5" t="s">
        <v>434</v>
      </c>
      <c r="AS5" s="5" t="s">
        <v>434</v>
      </c>
      <c r="AT5" s="5">
        <v>10.125999999999999</v>
      </c>
      <c r="AU5" s="5">
        <v>12.093</v>
      </c>
      <c r="AV5" s="5">
        <v>15.032999999999999</v>
      </c>
      <c r="AW5" s="5">
        <v>3</v>
      </c>
      <c r="AX5" s="5">
        <v>75</v>
      </c>
      <c r="AY5" s="5" t="s">
        <v>443</v>
      </c>
      <c r="AZ5" s="5" t="s">
        <v>434</v>
      </c>
      <c r="BA5" s="5" t="s">
        <v>434</v>
      </c>
      <c r="BB5" s="5">
        <v>4.673</v>
      </c>
      <c r="BC5" s="5">
        <v>5.0229999999999997</v>
      </c>
      <c r="BD5" s="5">
        <v>5.8739999999999997</v>
      </c>
      <c r="BE5" s="5">
        <v>2</v>
      </c>
      <c r="BF5" s="5">
        <v>85</v>
      </c>
      <c r="BG5" s="5" t="s">
        <v>444</v>
      </c>
      <c r="BH5" s="5" t="s">
        <v>431</v>
      </c>
      <c r="BI5" s="5" t="s">
        <v>431</v>
      </c>
      <c r="BJ5" s="5">
        <v>3.9060000000000001</v>
      </c>
      <c r="BK5" s="5">
        <v>59.923999999999999</v>
      </c>
      <c r="BL5" s="5">
        <v>60.95</v>
      </c>
      <c r="BM5" s="5">
        <v>3</v>
      </c>
      <c r="BN5" s="5">
        <v>100</v>
      </c>
      <c r="BO5" s="5" t="s">
        <v>445</v>
      </c>
      <c r="BP5" s="5" t="s">
        <v>431</v>
      </c>
      <c r="BQ5" s="5" t="s">
        <v>431</v>
      </c>
      <c r="BR5" s="5">
        <v>5.8369999999999997</v>
      </c>
      <c r="BS5" s="5">
        <v>7.5369999999999999</v>
      </c>
      <c r="BT5" s="5">
        <v>16.739999999999998</v>
      </c>
      <c r="BU5" s="5">
        <v>4</v>
      </c>
      <c r="BV5" s="5">
        <v>90</v>
      </c>
      <c r="BW5" s="5" t="s">
        <v>446</v>
      </c>
      <c r="BX5" s="5" t="s">
        <v>431</v>
      </c>
      <c r="BY5" s="5" t="s">
        <v>434</v>
      </c>
      <c r="BZ5" s="5">
        <v>0.50600000000000001</v>
      </c>
      <c r="CA5" s="5">
        <v>31.527000000000001</v>
      </c>
      <c r="CB5" s="5">
        <v>36.942999999999998</v>
      </c>
      <c r="CC5" s="5">
        <v>3</v>
      </c>
      <c r="CD5" s="5">
        <v>90</v>
      </c>
      <c r="CE5" s="5" t="s">
        <v>447</v>
      </c>
      <c r="CF5" s="5" t="s">
        <v>434</v>
      </c>
      <c r="CG5" s="5" t="s">
        <v>434</v>
      </c>
      <c r="CH5" s="5">
        <v>0.51200000000000001</v>
      </c>
      <c r="CI5" s="5">
        <v>19.195</v>
      </c>
      <c r="CJ5" s="5">
        <v>19.100999999999999</v>
      </c>
      <c r="CK5" s="5">
        <v>8</v>
      </c>
      <c r="CL5" s="5">
        <v>90</v>
      </c>
      <c r="CM5" s="5" t="s">
        <v>448</v>
      </c>
      <c r="CN5" s="5" t="s">
        <v>248</v>
      </c>
      <c r="CO5" s="5" t="s">
        <v>256</v>
      </c>
      <c r="CP5" s="5" t="s">
        <v>257</v>
      </c>
      <c r="CQ5" s="5" t="s">
        <v>246</v>
      </c>
    </row>
    <row r="6" spans="1:95" x14ac:dyDescent="0.3">
      <c r="A6" s="4">
        <v>45607.456064814818</v>
      </c>
      <c r="B6" s="4">
        <v>45607.468807870369</v>
      </c>
      <c r="C6" s="5" t="s">
        <v>30</v>
      </c>
      <c r="D6" s="5" t="s">
        <v>114</v>
      </c>
      <c r="E6" s="5">
        <v>100</v>
      </c>
      <c r="F6" s="5">
        <v>1101</v>
      </c>
      <c r="G6" s="5" t="b">
        <v>1</v>
      </c>
      <c r="H6" s="4">
        <v>45607.468819444446</v>
      </c>
      <c r="I6" s="5" t="s">
        <v>115</v>
      </c>
      <c r="J6" s="5"/>
      <c r="K6" s="5"/>
      <c r="L6" s="5"/>
      <c r="M6" s="5"/>
      <c r="N6" s="5">
        <v>42.262</v>
      </c>
      <c r="O6" s="5">
        <v>-71.800700000000006</v>
      </c>
      <c r="P6" s="5" t="s">
        <v>79</v>
      </c>
      <c r="Q6" s="5" t="s">
        <v>80</v>
      </c>
      <c r="R6" s="5">
        <v>1</v>
      </c>
      <c r="S6" s="5" t="s">
        <v>116</v>
      </c>
      <c r="T6" s="5" t="s">
        <v>82</v>
      </c>
      <c r="U6" s="5" t="s">
        <v>83</v>
      </c>
      <c r="V6" s="5" t="s">
        <v>117</v>
      </c>
      <c r="W6" s="5" t="s">
        <v>85</v>
      </c>
      <c r="X6" s="5" t="s">
        <v>86</v>
      </c>
      <c r="Y6" s="5"/>
      <c r="Z6" s="5" t="s">
        <v>118</v>
      </c>
      <c r="AA6" s="5" t="s">
        <v>88</v>
      </c>
      <c r="AB6" s="5" t="s">
        <v>431</v>
      </c>
      <c r="AC6" s="5" t="s">
        <v>431</v>
      </c>
      <c r="AD6" s="5">
        <v>65.088999999999999</v>
      </c>
      <c r="AE6" s="5">
        <v>65.088999999999999</v>
      </c>
      <c r="AF6" s="5">
        <v>106.48399999999999</v>
      </c>
      <c r="AG6" s="5">
        <v>1</v>
      </c>
      <c r="AH6" s="5">
        <v>100</v>
      </c>
      <c r="AI6" s="5" t="s">
        <v>449</v>
      </c>
      <c r="AJ6" s="5" t="s">
        <v>434</v>
      </c>
      <c r="AK6" s="5" t="s">
        <v>431</v>
      </c>
      <c r="AL6" s="5">
        <v>13.276</v>
      </c>
      <c r="AM6" s="5">
        <v>126.489</v>
      </c>
      <c r="AN6" s="5">
        <v>140.518</v>
      </c>
      <c r="AO6" s="5">
        <v>3</v>
      </c>
      <c r="AP6" s="5">
        <v>81</v>
      </c>
      <c r="AQ6" s="5"/>
      <c r="AR6" s="5" t="s">
        <v>431</v>
      </c>
      <c r="AS6" s="5" t="s">
        <v>434</v>
      </c>
      <c r="AT6" s="5">
        <v>8.9760000000000009</v>
      </c>
      <c r="AU6" s="5">
        <v>9.8010000000000002</v>
      </c>
      <c r="AV6" s="5">
        <v>11.569000000000001</v>
      </c>
      <c r="AW6" s="5">
        <v>2</v>
      </c>
      <c r="AX6" s="5">
        <v>83</v>
      </c>
      <c r="AY6" s="5"/>
      <c r="AZ6" s="5" t="s">
        <v>434</v>
      </c>
      <c r="BA6" s="5" t="s">
        <v>434</v>
      </c>
      <c r="BB6" s="5">
        <v>7.6079999999999997</v>
      </c>
      <c r="BC6" s="5">
        <v>8.7349999999999994</v>
      </c>
      <c r="BD6" s="5">
        <v>9.7279999999999998</v>
      </c>
      <c r="BE6" s="5">
        <v>2</v>
      </c>
      <c r="BF6" s="5">
        <v>100</v>
      </c>
      <c r="BG6" s="5"/>
      <c r="BH6" s="5" t="s">
        <v>431</v>
      </c>
      <c r="BI6" s="5" t="s">
        <v>431</v>
      </c>
      <c r="BJ6" s="5">
        <v>12.358000000000001</v>
      </c>
      <c r="BK6" s="5">
        <v>16.838000000000001</v>
      </c>
      <c r="BL6" s="5">
        <v>31.009</v>
      </c>
      <c r="BM6" s="5">
        <v>2</v>
      </c>
      <c r="BN6" s="5">
        <v>91</v>
      </c>
      <c r="BO6" s="5"/>
      <c r="BP6" s="5" t="s">
        <v>431</v>
      </c>
      <c r="BQ6" s="5" t="s">
        <v>431</v>
      </c>
      <c r="BR6" s="5">
        <v>25.088000000000001</v>
      </c>
      <c r="BS6" s="5">
        <v>26.190999999999999</v>
      </c>
      <c r="BT6" s="5">
        <v>27.306000000000001</v>
      </c>
      <c r="BU6" s="5">
        <v>2</v>
      </c>
      <c r="BV6" s="5">
        <v>61</v>
      </c>
      <c r="BW6" s="5"/>
      <c r="BX6" s="5" t="s">
        <v>434</v>
      </c>
      <c r="BY6" s="5" t="s">
        <v>434</v>
      </c>
      <c r="BZ6" s="5">
        <v>22.783999999999999</v>
      </c>
      <c r="CA6" s="5">
        <v>22.783999999999999</v>
      </c>
      <c r="CB6" s="5">
        <v>23.521999999999998</v>
      </c>
      <c r="CC6" s="5">
        <v>1</v>
      </c>
      <c r="CD6" s="5">
        <v>70</v>
      </c>
      <c r="CE6" s="5"/>
      <c r="CF6" s="5" t="s">
        <v>434</v>
      </c>
      <c r="CG6" s="5" t="s">
        <v>434</v>
      </c>
      <c r="CH6" s="5">
        <v>8.9580000000000002</v>
      </c>
      <c r="CI6" s="5">
        <v>299.24900000000002</v>
      </c>
      <c r="CJ6" s="5">
        <v>302.267</v>
      </c>
      <c r="CK6" s="5">
        <v>3</v>
      </c>
      <c r="CL6" s="5">
        <v>69</v>
      </c>
      <c r="CM6" s="5"/>
      <c r="CN6" s="5" t="s">
        <v>258</v>
      </c>
      <c r="CO6" s="5" t="s">
        <v>258</v>
      </c>
      <c r="CP6" s="5" t="s">
        <v>258</v>
      </c>
      <c r="CQ6" s="5" t="s">
        <v>258</v>
      </c>
    </row>
    <row r="7" spans="1:95" x14ac:dyDescent="0.3">
      <c r="A7" s="4">
        <v>45607.567754629628</v>
      </c>
      <c r="B7" s="4">
        <v>45607.579884259256</v>
      </c>
      <c r="C7" s="5" t="s">
        <v>30</v>
      </c>
      <c r="D7" s="5" t="s">
        <v>132</v>
      </c>
      <c r="E7" s="5">
        <v>100</v>
      </c>
      <c r="F7" s="5">
        <v>1048</v>
      </c>
      <c r="G7" s="5" t="b">
        <v>1</v>
      </c>
      <c r="H7" s="4">
        <v>45607.579895833333</v>
      </c>
      <c r="I7" s="5" t="s">
        <v>136</v>
      </c>
      <c r="J7" s="5"/>
      <c r="K7" s="5"/>
      <c r="L7" s="5"/>
      <c r="M7" s="5"/>
      <c r="N7" s="5">
        <v>42.247399999999999</v>
      </c>
      <c r="O7" s="5">
        <v>-71.806899999999999</v>
      </c>
      <c r="P7" s="5" t="s">
        <v>79</v>
      </c>
      <c r="Q7" s="5" t="s">
        <v>80</v>
      </c>
      <c r="R7" s="5">
        <v>1</v>
      </c>
      <c r="S7" s="5" t="s">
        <v>137</v>
      </c>
      <c r="T7" s="5" t="s">
        <v>138</v>
      </c>
      <c r="U7" s="5" t="s">
        <v>108</v>
      </c>
      <c r="V7" s="5" t="s">
        <v>139</v>
      </c>
      <c r="W7" s="5" t="s">
        <v>85</v>
      </c>
      <c r="X7" s="5" t="s">
        <v>86</v>
      </c>
      <c r="Y7" s="5"/>
      <c r="Z7" s="5" t="s">
        <v>140</v>
      </c>
      <c r="AA7" s="5" t="s">
        <v>141</v>
      </c>
      <c r="AB7" s="5" t="s">
        <v>431</v>
      </c>
      <c r="AC7" s="5" t="s">
        <v>431</v>
      </c>
      <c r="AD7" s="5">
        <v>20.626999999999999</v>
      </c>
      <c r="AE7" s="5">
        <v>30.704999999999998</v>
      </c>
      <c r="AF7" s="5">
        <v>31.625</v>
      </c>
      <c r="AG7" s="5">
        <v>2</v>
      </c>
      <c r="AH7" s="5">
        <v>80</v>
      </c>
      <c r="AI7" s="5" t="s">
        <v>450</v>
      </c>
      <c r="AJ7" s="5" t="s">
        <v>434</v>
      </c>
      <c r="AK7" s="5" t="s">
        <v>431</v>
      </c>
      <c r="AL7" s="5">
        <v>7.4790000000000001</v>
      </c>
      <c r="AM7" s="5">
        <v>179.18799999999999</v>
      </c>
      <c r="AN7" s="5">
        <v>179.87299999999999</v>
      </c>
      <c r="AO7" s="5">
        <v>17</v>
      </c>
      <c r="AP7" s="5">
        <v>90</v>
      </c>
      <c r="AQ7" s="5" t="s">
        <v>451</v>
      </c>
      <c r="AR7" s="5" t="s">
        <v>431</v>
      </c>
      <c r="AS7" s="5" t="s">
        <v>434</v>
      </c>
      <c r="AT7" s="5">
        <v>6.1109999999999998</v>
      </c>
      <c r="AU7" s="5">
        <v>37.621000000000002</v>
      </c>
      <c r="AV7" s="5">
        <v>38.444000000000003</v>
      </c>
      <c r="AW7" s="5">
        <v>6</v>
      </c>
      <c r="AX7" s="5">
        <v>56</v>
      </c>
      <c r="AY7" s="5" t="s">
        <v>431</v>
      </c>
      <c r="AZ7" s="5" t="s">
        <v>434</v>
      </c>
      <c r="BA7" s="5" t="s">
        <v>434</v>
      </c>
      <c r="BB7" s="5">
        <v>2.1720000000000002</v>
      </c>
      <c r="BC7" s="5">
        <v>74.001999999999995</v>
      </c>
      <c r="BD7" s="5">
        <v>86.472999999999999</v>
      </c>
      <c r="BE7" s="5">
        <v>5</v>
      </c>
      <c r="BF7" s="5">
        <v>100</v>
      </c>
      <c r="BG7" s="5" t="s">
        <v>452</v>
      </c>
      <c r="BH7" s="5" t="s">
        <v>431</v>
      </c>
      <c r="BI7" s="5" t="s">
        <v>431</v>
      </c>
      <c r="BJ7" s="5">
        <v>9.9700000000000006</v>
      </c>
      <c r="BK7" s="5">
        <v>52.997999999999998</v>
      </c>
      <c r="BL7" s="5">
        <v>54.165999999999997</v>
      </c>
      <c r="BM7" s="5">
        <v>9</v>
      </c>
      <c r="BN7" s="5">
        <v>98</v>
      </c>
      <c r="BO7" s="5" t="s">
        <v>453</v>
      </c>
      <c r="BP7" s="5" t="s">
        <v>434</v>
      </c>
      <c r="BQ7" s="5" t="s">
        <v>431</v>
      </c>
      <c r="BR7" s="5">
        <v>2.5819999999999999</v>
      </c>
      <c r="BS7" s="5">
        <v>52.585999999999999</v>
      </c>
      <c r="BT7" s="5">
        <v>56.164000000000001</v>
      </c>
      <c r="BU7" s="5">
        <v>10</v>
      </c>
      <c r="BV7" s="5">
        <v>76</v>
      </c>
      <c r="BW7" s="5" t="s">
        <v>454</v>
      </c>
      <c r="BX7" s="5" t="s">
        <v>434</v>
      </c>
      <c r="BY7" s="5" t="s">
        <v>434</v>
      </c>
      <c r="BZ7" s="5">
        <v>2.9769999999999999</v>
      </c>
      <c r="CA7" s="5">
        <v>75.17</v>
      </c>
      <c r="CB7" s="5">
        <v>76.245000000000005</v>
      </c>
      <c r="CC7" s="5">
        <v>16</v>
      </c>
      <c r="CD7" s="5">
        <v>86</v>
      </c>
      <c r="CE7" s="5" t="s">
        <v>455</v>
      </c>
      <c r="CF7" s="5" t="s">
        <v>431</v>
      </c>
      <c r="CG7" s="5" t="s">
        <v>434</v>
      </c>
      <c r="CH7" s="5">
        <v>33.671999999999997</v>
      </c>
      <c r="CI7" s="5">
        <v>45.966000000000001</v>
      </c>
      <c r="CJ7" s="5">
        <v>46.936999999999998</v>
      </c>
      <c r="CK7" s="5">
        <v>7</v>
      </c>
      <c r="CL7" s="5">
        <v>97</v>
      </c>
      <c r="CM7" s="5" t="s">
        <v>456</v>
      </c>
      <c r="CN7" s="5" t="s">
        <v>266</v>
      </c>
      <c r="CO7" s="5" t="s">
        <v>248</v>
      </c>
      <c r="CP7" s="5" t="s">
        <v>267</v>
      </c>
      <c r="CQ7" s="5" t="s">
        <v>268</v>
      </c>
    </row>
    <row r="8" spans="1:95" x14ac:dyDescent="0.3">
      <c r="A8" s="4">
        <v>45607.628993055558</v>
      </c>
      <c r="B8" s="4">
        <v>45607.64334490741</v>
      </c>
      <c r="C8" s="5" t="s">
        <v>30</v>
      </c>
      <c r="D8" s="5" t="s">
        <v>149</v>
      </c>
      <c r="E8" s="5">
        <v>100</v>
      </c>
      <c r="F8" s="5">
        <v>1240</v>
      </c>
      <c r="G8" s="5" t="b">
        <v>1</v>
      </c>
      <c r="H8" s="4">
        <v>45607.64335648148</v>
      </c>
      <c r="I8" s="5" t="s">
        <v>150</v>
      </c>
      <c r="J8" s="5"/>
      <c r="K8" s="5"/>
      <c r="L8" s="5"/>
      <c r="M8" s="5"/>
      <c r="N8" s="5">
        <v>42.2821</v>
      </c>
      <c r="O8" s="5">
        <v>-71.8262</v>
      </c>
      <c r="P8" s="5" t="s">
        <v>79</v>
      </c>
      <c r="Q8" s="5" t="s">
        <v>80</v>
      </c>
      <c r="R8" s="5">
        <v>1</v>
      </c>
      <c r="S8" s="5" t="s">
        <v>116</v>
      </c>
      <c r="T8" s="5" t="s">
        <v>82</v>
      </c>
      <c r="U8" s="5" t="s">
        <v>83</v>
      </c>
      <c r="V8" s="5" t="s">
        <v>151</v>
      </c>
      <c r="W8" s="5" t="s">
        <v>98</v>
      </c>
      <c r="X8" s="5" t="s">
        <v>128</v>
      </c>
      <c r="Y8" s="5"/>
      <c r="Z8" s="5" t="s">
        <v>87</v>
      </c>
      <c r="AA8" s="5" t="s">
        <v>113</v>
      </c>
      <c r="AB8" s="5" t="s">
        <v>434</v>
      </c>
      <c r="AC8" s="5" t="s">
        <v>431</v>
      </c>
      <c r="AD8" s="5">
        <v>51.142000000000003</v>
      </c>
      <c r="AE8" s="5">
        <v>51.142000000000003</v>
      </c>
      <c r="AF8" s="5">
        <v>57.661000000000001</v>
      </c>
      <c r="AG8" s="5">
        <v>1</v>
      </c>
      <c r="AH8" s="5">
        <v>90</v>
      </c>
      <c r="AI8" s="5" t="s">
        <v>457</v>
      </c>
      <c r="AJ8" s="5" t="s">
        <v>431</v>
      </c>
      <c r="AK8" s="5" t="s">
        <v>431</v>
      </c>
      <c r="AL8" s="5">
        <v>65.858999999999995</v>
      </c>
      <c r="AM8" s="5">
        <v>65.858999999999995</v>
      </c>
      <c r="AN8" s="5">
        <v>72.89</v>
      </c>
      <c r="AO8" s="5">
        <v>1</v>
      </c>
      <c r="AP8" s="5">
        <v>50</v>
      </c>
      <c r="AQ8" s="5" t="s">
        <v>458</v>
      </c>
      <c r="AR8" s="5" t="s">
        <v>431</v>
      </c>
      <c r="AS8" s="5" t="s">
        <v>434</v>
      </c>
      <c r="AT8" s="5">
        <v>57.725999999999999</v>
      </c>
      <c r="AU8" s="5">
        <v>58.048999999999999</v>
      </c>
      <c r="AV8" s="5">
        <v>71.572000000000003</v>
      </c>
      <c r="AW8" s="5">
        <v>2</v>
      </c>
      <c r="AX8" s="5">
        <v>75</v>
      </c>
      <c r="AY8" s="5" t="s">
        <v>459</v>
      </c>
      <c r="AZ8" s="5" t="s">
        <v>434</v>
      </c>
      <c r="BA8" s="5" t="s">
        <v>434</v>
      </c>
      <c r="BB8" s="5">
        <v>37.957999999999998</v>
      </c>
      <c r="BC8" s="5">
        <v>37.957999999999998</v>
      </c>
      <c r="BD8" s="5">
        <v>42.124000000000002</v>
      </c>
      <c r="BE8" s="5">
        <v>1</v>
      </c>
      <c r="BF8" s="5">
        <v>100</v>
      </c>
      <c r="BG8" s="5" t="s">
        <v>460</v>
      </c>
      <c r="BH8" s="5" t="s">
        <v>434</v>
      </c>
      <c r="BI8" s="5" t="s">
        <v>431</v>
      </c>
      <c r="BJ8" s="5">
        <v>27.187999999999999</v>
      </c>
      <c r="BK8" s="5">
        <v>27.187999999999999</v>
      </c>
      <c r="BL8" s="5">
        <v>49.869</v>
      </c>
      <c r="BM8" s="5">
        <v>1</v>
      </c>
      <c r="BN8" s="5">
        <v>100</v>
      </c>
      <c r="BO8" s="5" t="s">
        <v>461</v>
      </c>
      <c r="BP8" s="5" t="s">
        <v>434</v>
      </c>
      <c r="BQ8" s="5" t="s">
        <v>431</v>
      </c>
      <c r="BR8" s="5">
        <v>44.540999999999997</v>
      </c>
      <c r="BS8" s="5">
        <v>44.540999999999997</v>
      </c>
      <c r="BT8" s="5">
        <v>48.048000000000002</v>
      </c>
      <c r="BU8" s="5">
        <v>1</v>
      </c>
      <c r="BV8" s="5">
        <v>80</v>
      </c>
      <c r="BW8" s="5" t="s">
        <v>462</v>
      </c>
      <c r="BX8" s="5" t="s">
        <v>431</v>
      </c>
      <c r="BY8" s="5" t="s">
        <v>434</v>
      </c>
      <c r="BZ8" s="5">
        <v>55.634</v>
      </c>
      <c r="CA8" s="5">
        <v>55.634</v>
      </c>
      <c r="CB8" s="5">
        <v>58.000999999999998</v>
      </c>
      <c r="CC8" s="5">
        <v>1</v>
      </c>
      <c r="CD8" s="5">
        <v>80</v>
      </c>
      <c r="CE8" s="5" t="s">
        <v>463</v>
      </c>
      <c r="CF8" s="5" t="s">
        <v>434</v>
      </c>
      <c r="CG8" s="5" t="s">
        <v>434</v>
      </c>
      <c r="CH8" s="5">
        <v>56</v>
      </c>
      <c r="CI8" s="5">
        <v>56</v>
      </c>
      <c r="CJ8" s="5">
        <v>58.103000000000002</v>
      </c>
      <c r="CK8" s="5">
        <v>1</v>
      </c>
      <c r="CL8" s="5">
        <v>50</v>
      </c>
      <c r="CM8" s="5" t="s">
        <v>464</v>
      </c>
      <c r="CN8" s="5" t="s">
        <v>244</v>
      </c>
      <c r="CO8" s="5" t="s">
        <v>244</v>
      </c>
      <c r="CP8" s="5" t="s">
        <v>257</v>
      </c>
      <c r="CQ8" s="5" t="s">
        <v>257</v>
      </c>
    </row>
    <row r="9" spans="1:95" x14ac:dyDescent="0.3">
      <c r="A9" s="4">
        <v>45607.829930555556</v>
      </c>
      <c r="B9" s="4">
        <v>45607.842094907406</v>
      </c>
      <c r="C9" s="5" t="s">
        <v>30</v>
      </c>
      <c r="D9" s="5" t="s">
        <v>160</v>
      </c>
      <c r="E9" s="5">
        <v>100</v>
      </c>
      <c r="F9" s="5">
        <v>1051</v>
      </c>
      <c r="G9" s="5" t="b">
        <v>1</v>
      </c>
      <c r="H9" s="4">
        <v>45607.842106481483</v>
      </c>
      <c r="I9" s="5" t="s">
        <v>161</v>
      </c>
      <c r="J9" s="5"/>
      <c r="K9" s="5"/>
      <c r="L9" s="5"/>
      <c r="M9" s="5"/>
      <c r="N9" s="5">
        <v>42.339599999999997</v>
      </c>
      <c r="O9" s="5">
        <v>-71.567800000000005</v>
      </c>
      <c r="P9" s="5" t="s">
        <v>79</v>
      </c>
      <c r="Q9" s="5" t="s">
        <v>80</v>
      </c>
      <c r="R9" s="5">
        <v>1</v>
      </c>
      <c r="S9" s="5" t="s">
        <v>116</v>
      </c>
      <c r="T9" s="5" t="s">
        <v>82</v>
      </c>
      <c r="U9" s="5" t="s">
        <v>83</v>
      </c>
      <c r="V9" s="5" t="s">
        <v>127</v>
      </c>
      <c r="W9" s="5" t="s">
        <v>85</v>
      </c>
      <c r="X9" s="5" t="s">
        <v>95</v>
      </c>
      <c r="Y9" s="5"/>
      <c r="Z9" s="5" t="s">
        <v>87</v>
      </c>
      <c r="AA9" s="5" t="s">
        <v>88</v>
      </c>
      <c r="AB9" s="5" t="s">
        <v>431</v>
      </c>
      <c r="AC9" s="5" t="s">
        <v>431</v>
      </c>
      <c r="AD9" s="5">
        <v>23.902000000000001</v>
      </c>
      <c r="AE9" s="5">
        <v>23.902000000000001</v>
      </c>
      <c r="AF9" s="5">
        <v>27.913</v>
      </c>
      <c r="AG9" s="5">
        <v>1</v>
      </c>
      <c r="AH9" s="5">
        <v>93</v>
      </c>
      <c r="AI9" s="5" t="s">
        <v>465</v>
      </c>
      <c r="AJ9" s="5" t="s">
        <v>434</v>
      </c>
      <c r="AK9" s="5" t="s">
        <v>431</v>
      </c>
      <c r="AL9" s="5">
        <v>10.993</v>
      </c>
      <c r="AM9" s="5">
        <v>46.811999999999998</v>
      </c>
      <c r="AN9" s="5">
        <v>48.290999999999997</v>
      </c>
      <c r="AO9" s="5">
        <v>2</v>
      </c>
      <c r="AP9" s="5">
        <v>64</v>
      </c>
      <c r="AQ9" s="5" t="s">
        <v>466</v>
      </c>
      <c r="AR9" s="5" t="s">
        <v>431</v>
      </c>
      <c r="AS9" s="5" t="s">
        <v>434</v>
      </c>
      <c r="AT9" s="5">
        <v>11.932</v>
      </c>
      <c r="AU9" s="5">
        <v>11.932</v>
      </c>
      <c r="AV9" s="5">
        <v>21.983000000000001</v>
      </c>
      <c r="AW9" s="5">
        <v>1</v>
      </c>
      <c r="AX9" s="5">
        <v>78</v>
      </c>
      <c r="AY9" s="5" t="s">
        <v>467</v>
      </c>
      <c r="AZ9" s="5" t="s">
        <v>434</v>
      </c>
      <c r="BA9" s="5" t="s">
        <v>434</v>
      </c>
      <c r="BB9" s="5">
        <v>13.407999999999999</v>
      </c>
      <c r="BC9" s="5">
        <v>13.407999999999999</v>
      </c>
      <c r="BD9" s="5">
        <v>57.822000000000003</v>
      </c>
      <c r="BE9" s="5">
        <v>1</v>
      </c>
      <c r="BF9" s="5">
        <v>51</v>
      </c>
      <c r="BG9" s="5" t="s">
        <v>468</v>
      </c>
      <c r="BH9" s="5" t="s">
        <v>434</v>
      </c>
      <c r="BI9" s="5" t="s">
        <v>431</v>
      </c>
      <c r="BJ9" s="5">
        <v>28.673999999999999</v>
      </c>
      <c r="BK9" s="5">
        <v>28.673999999999999</v>
      </c>
      <c r="BL9" s="5">
        <v>31.268999999999998</v>
      </c>
      <c r="BM9" s="5">
        <v>1</v>
      </c>
      <c r="BN9" s="5">
        <v>85</v>
      </c>
      <c r="BO9" s="5" t="s">
        <v>469</v>
      </c>
      <c r="BP9" s="5" t="s">
        <v>434</v>
      </c>
      <c r="BQ9" s="5" t="s">
        <v>431</v>
      </c>
      <c r="BR9" s="5">
        <v>15.582000000000001</v>
      </c>
      <c r="BS9" s="5">
        <v>15.582000000000001</v>
      </c>
      <c r="BT9" s="5">
        <v>18.600999999999999</v>
      </c>
      <c r="BU9" s="5">
        <v>1</v>
      </c>
      <c r="BV9" s="5">
        <v>82</v>
      </c>
      <c r="BW9" s="5" t="s">
        <v>470</v>
      </c>
      <c r="BX9" s="5" t="s">
        <v>434</v>
      </c>
      <c r="BY9" s="5" t="s">
        <v>434</v>
      </c>
      <c r="BZ9" s="5">
        <v>25.300999999999998</v>
      </c>
      <c r="CA9" s="5">
        <v>25.300999999999998</v>
      </c>
      <c r="CB9" s="5">
        <v>26.529</v>
      </c>
      <c r="CC9" s="5">
        <v>1</v>
      </c>
      <c r="CD9" s="5">
        <v>52</v>
      </c>
      <c r="CE9" s="5" t="s">
        <v>471</v>
      </c>
      <c r="CF9" s="5" t="s">
        <v>434</v>
      </c>
      <c r="CG9" s="5" t="s">
        <v>434</v>
      </c>
      <c r="CH9" s="5">
        <v>26.489000000000001</v>
      </c>
      <c r="CI9" s="5">
        <v>26.489000000000001</v>
      </c>
      <c r="CJ9" s="5">
        <v>43.808</v>
      </c>
      <c r="CK9" s="5">
        <v>1</v>
      </c>
      <c r="CL9" s="5">
        <v>97</v>
      </c>
      <c r="CM9" s="5" t="s">
        <v>472</v>
      </c>
      <c r="CN9" s="5" t="s">
        <v>282</v>
      </c>
      <c r="CO9" s="5" t="s">
        <v>244</v>
      </c>
      <c r="CP9" s="5" t="s">
        <v>257</v>
      </c>
      <c r="CQ9" s="5" t="s">
        <v>246</v>
      </c>
    </row>
    <row r="10" spans="1:95" x14ac:dyDescent="0.3">
      <c r="A10" s="4">
        <v>45607.794560185182</v>
      </c>
      <c r="B10" s="4">
        <v>45607.849664351852</v>
      </c>
      <c r="C10" s="5" t="s">
        <v>30</v>
      </c>
      <c r="D10" s="5" t="s">
        <v>162</v>
      </c>
      <c r="E10" s="5">
        <v>100</v>
      </c>
      <c r="F10" s="5">
        <v>4761</v>
      </c>
      <c r="G10" s="5" t="b">
        <v>1</v>
      </c>
      <c r="H10" s="4">
        <v>45607.849675925929</v>
      </c>
      <c r="I10" s="5" t="s">
        <v>163</v>
      </c>
      <c r="J10" s="5"/>
      <c r="K10" s="5"/>
      <c r="L10" s="5"/>
      <c r="M10" s="5"/>
      <c r="N10" s="5">
        <v>42.247399999999999</v>
      </c>
      <c r="O10" s="5">
        <v>-71.806899999999999</v>
      </c>
      <c r="P10" s="5" t="s">
        <v>79</v>
      </c>
      <c r="Q10" s="5" t="s">
        <v>80</v>
      </c>
      <c r="R10" s="5">
        <v>1</v>
      </c>
      <c r="S10" s="5" t="s">
        <v>81</v>
      </c>
      <c r="T10" s="5" t="s">
        <v>82</v>
      </c>
      <c r="U10" s="5" t="s">
        <v>83</v>
      </c>
      <c r="V10" s="5" t="s">
        <v>84</v>
      </c>
      <c r="W10" s="5" t="s">
        <v>98</v>
      </c>
      <c r="X10" s="5" t="s">
        <v>95</v>
      </c>
      <c r="Y10" s="5"/>
      <c r="Z10" s="5" t="s">
        <v>140</v>
      </c>
      <c r="AA10" s="5" t="s">
        <v>88</v>
      </c>
      <c r="AB10" s="5" t="s">
        <v>431</v>
      </c>
      <c r="AC10" s="5" t="s">
        <v>431</v>
      </c>
      <c r="AD10" s="5">
        <v>85.099000000000004</v>
      </c>
      <c r="AE10" s="5">
        <v>85.099000000000004</v>
      </c>
      <c r="AF10" s="5">
        <v>284.11900000000003</v>
      </c>
      <c r="AG10" s="5">
        <v>1</v>
      </c>
      <c r="AH10" s="5">
        <v>95</v>
      </c>
      <c r="AI10" s="5" t="s">
        <v>473</v>
      </c>
      <c r="AJ10" s="5" t="s">
        <v>434</v>
      </c>
      <c r="AK10" s="5" t="s">
        <v>431</v>
      </c>
      <c r="AL10" s="5">
        <v>55.031999999999996</v>
      </c>
      <c r="AM10" s="5">
        <v>55.031999999999996</v>
      </c>
      <c r="AN10" s="5">
        <v>56.445</v>
      </c>
      <c r="AO10" s="5">
        <v>1</v>
      </c>
      <c r="AP10" s="5">
        <v>96</v>
      </c>
      <c r="AQ10" s="5" t="s">
        <v>474</v>
      </c>
      <c r="AR10" s="5" t="s">
        <v>434</v>
      </c>
      <c r="AS10" s="5" t="s">
        <v>434</v>
      </c>
      <c r="AT10" s="5">
        <v>88.513000000000005</v>
      </c>
      <c r="AU10" s="5">
        <v>88.513000000000005</v>
      </c>
      <c r="AV10" s="5">
        <v>594.76099999999997</v>
      </c>
      <c r="AW10" s="5">
        <v>1</v>
      </c>
      <c r="AX10" s="5">
        <v>97</v>
      </c>
      <c r="AY10" s="5" t="s">
        <v>475</v>
      </c>
      <c r="AZ10" s="5" t="s">
        <v>434</v>
      </c>
      <c r="BA10" s="5" t="s">
        <v>434</v>
      </c>
      <c r="BB10" s="5">
        <v>172.149</v>
      </c>
      <c r="BC10" s="5">
        <v>172.149</v>
      </c>
      <c r="BD10" s="5">
        <v>173.62</v>
      </c>
      <c r="BE10" s="5">
        <v>1</v>
      </c>
      <c r="BF10" s="5">
        <v>91</v>
      </c>
      <c r="BG10" s="5" t="s">
        <v>476</v>
      </c>
      <c r="BH10" s="5" t="s">
        <v>431</v>
      </c>
      <c r="BI10" s="5" t="s">
        <v>431</v>
      </c>
      <c r="BJ10" s="5">
        <v>47.584000000000003</v>
      </c>
      <c r="BK10" s="5">
        <v>47.584000000000003</v>
      </c>
      <c r="BL10" s="5">
        <v>64.369</v>
      </c>
      <c r="BM10" s="5">
        <v>1</v>
      </c>
      <c r="BN10" s="5">
        <v>100</v>
      </c>
      <c r="BO10" s="5" t="s">
        <v>477</v>
      </c>
      <c r="BP10" s="5" t="s">
        <v>434</v>
      </c>
      <c r="BQ10" s="5" t="s">
        <v>431</v>
      </c>
      <c r="BR10" s="5">
        <v>82.825999999999993</v>
      </c>
      <c r="BS10" s="5">
        <v>82.825999999999993</v>
      </c>
      <c r="BT10" s="5">
        <v>86.018000000000001</v>
      </c>
      <c r="BU10" s="5">
        <v>1</v>
      </c>
      <c r="BV10" s="5">
        <v>100</v>
      </c>
      <c r="BW10" s="5" t="s">
        <v>478</v>
      </c>
      <c r="BX10" s="5" t="s">
        <v>434</v>
      </c>
      <c r="BY10" s="5" t="s">
        <v>434</v>
      </c>
      <c r="BZ10" s="5">
        <v>35.999000000000002</v>
      </c>
      <c r="CA10" s="5">
        <v>35.999000000000002</v>
      </c>
      <c r="CB10" s="5">
        <v>38.448999999999998</v>
      </c>
      <c r="CC10" s="5">
        <v>1</v>
      </c>
      <c r="CD10" s="5">
        <v>98</v>
      </c>
      <c r="CE10" s="5" t="s">
        <v>479</v>
      </c>
      <c r="CF10" s="5" t="s">
        <v>434</v>
      </c>
      <c r="CG10" s="5" t="s">
        <v>434</v>
      </c>
      <c r="CH10" s="5">
        <v>70.820999999999998</v>
      </c>
      <c r="CI10" s="5">
        <v>70.820999999999998</v>
      </c>
      <c r="CJ10" s="5">
        <v>72.796999999999997</v>
      </c>
      <c r="CK10" s="5">
        <v>1</v>
      </c>
      <c r="CL10" s="5">
        <v>100</v>
      </c>
      <c r="CM10" s="5" t="s">
        <v>480</v>
      </c>
      <c r="CN10" s="5" t="s">
        <v>255</v>
      </c>
      <c r="CO10" s="5" t="s">
        <v>256</v>
      </c>
      <c r="CP10" s="5" t="s">
        <v>283</v>
      </c>
      <c r="CQ10" s="5" t="s">
        <v>265</v>
      </c>
    </row>
    <row r="11" spans="1:95" x14ac:dyDescent="0.3">
      <c r="A11" s="4">
        <v>45608.439247685186</v>
      </c>
      <c r="B11" s="4">
        <v>45608.452164351853</v>
      </c>
      <c r="C11" s="5" t="s">
        <v>30</v>
      </c>
      <c r="D11" s="5" t="s">
        <v>168</v>
      </c>
      <c r="E11" s="5">
        <v>100</v>
      </c>
      <c r="F11" s="5">
        <v>1116</v>
      </c>
      <c r="G11" s="5" t="b">
        <v>1</v>
      </c>
      <c r="H11" s="4">
        <v>45608.452175925922</v>
      </c>
      <c r="I11" s="5" t="s">
        <v>169</v>
      </c>
      <c r="J11" s="5"/>
      <c r="K11" s="5"/>
      <c r="L11" s="5"/>
      <c r="M11" s="5"/>
      <c r="N11" s="5">
        <v>42.270499999999998</v>
      </c>
      <c r="O11" s="5">
        <v>-71.844700000000003</v>
      </c>
      <c r="P11" s="5" t="s">
        <v>79</v>
      </c>
      <c r="Q11" s="5" t="s">
        <v>80</v>
      </c>
      <c r="R11" s="5">
        <v>1</v>
      </c>
      <c r="S11" s="5" t="s">
        <v>137</v>
      </c>
      <c r="T11" s="5" t="s">
        <v>138</v>
      </c>
      <c r="U11" s="5" t="s">
        <v>108</v>
      </c>
      <c r="V11" s="5" t="s">
        <v>109</v>
      </c>
      <c r="W11" s="5" t="s">
        <v>98</v>
      </c>
      <c r="X11" s="5" t="s">
        <v>86</v>
      </c>
      <c r="Y11" s="5"/>
      <c r="Z11" s="5" t="s">
        <v>118</v>
      </c>
      <c r="AA11" s="5" t="s">
        <v>170</v>
      </c>
      <c r="AB11" s="5" t="s">
        <v>431</v>
      </c>
      <c r="AC11" s="5" t="s">
        <v>431</v>
      </c>
      <c r="AD11" s="5">
        <v>31.413</v>
      </c>
      <c r="AE11" s="5">
        <v>32.723999999999997</v>
      </c>
      <c r="AF11" s="5">
        <v>34.390999999999998</v>
      </c>
      <c r="AG11" s="5">
        <v>3</v>
      </c>
      <c r="AH11" s="5">
        <v>100</v>
      </c>
      <c r="AI11" s="5" t="s">
        <v>481</v>
      </c>
      <c r="AJ11" s="5" t="s">
        <v>431</v>
      </c>
      <c r="AK11" s="5" t="s">
        <v>431</v>
      </c>
      <c r="AL11" s="5">
        <v>3.7189999999999999</v>
      </c>
      <c r="AM11" s="5">
        <v>71.786000000000001</v>
      </c>
      <c r="AN11" s="5">
        <v>73.186000000000007</v>
      </c>
      <c r="AO11" s="5">
        <v>7</v>
      </c>
      <c r="AP11" s="5">
        <v>100</v>
      </c>
      <c r="AQ11" s="5" t="s">
        <v>482</v>
      </c>
      <c r="AR11" s="5" t="s">
        <v>434</v>
      </c>
      <c r="AS11" s="5" t="s">
        <v>434</v>
      </c>
      <c r="AT11" s="5">
        <v>5.7590000000000003</v>
      </c>
      <c r="AU11" s="5">
        <v>32.341000000000001</v>
      </c>
      <c r="AV11" s="5">
        <v>33.801000000000002</v>
      </c>
      <c r="AW11" s="5">
        <v>5</v>
      </c>
      <c r="AX11" s="5">
        <v>100</v>
      </c>
      <c r="AY11" s="5" t="s">
        <v>483</v>
      </c>
      <c r="AZ11" s="5" t="s">
        <v>434</v>
      </c>
      <c r="BA11" s="5" t="s">
        <v>434</v>
      </c>
      <c r="BB11" s="5">
        <v>2.0680000000000001</v>
      </c>
      <c r="BC11" s="5">
        <v>25.327999999999999</v>
      </c>
      <c r="BD11" s="5">
        <v>26.341000000000001</v>
      </c>
      <c r="BE11" s="5">
        <v>5</v>
      </c>
      <c r="BF11" s="5">
        <v>100</v>
      </c>
      <c r="BG11" s="5" t="s">
        <v>484</v>
      </c>
      <c r="BH11" s="5" t="s">
        <v>431</v>
      </c>
      <c r="BI11" s="5" t="s">
        <v>431</v>
      </c>
      <c r="BJ11" s="5">
        <v>1.7210000000000001</v>
      </c>
      <c r="BK11" s="5">
        <v>58.823</v>
      </c>
      <c r="BL11" s="5">
        <v>59.963000000000001</v>
      </c>
      <c r="BM11" s="5">
        <v>7</v>
      </c>
      <c r="BN11" s="5">
        <v>100</v>
      </c>
      <c r="BO11" s="5" t="s">
        <v>485</v>
      </c>
      <c r="BP11" s="5" t="s">
        <v>431</v>
      </c>
      <c r="BQ11" s="5" t="s">
        <v>431</v>
      </c>
      <c r="BR11" s="5">
        <v>1.8540000000000001</v>
      </c>
      <c r="BS11" s="5">
        <v>68.73</v>
      </c>
      <c r="BT11" s="5">
        <v>70.129000000000005</v>
      </c>
      <c r="BU11" s="5">
        <v>4</v>
      </c>
      <c r="BV11" s="5">
        <v>100</v>
      </c>
      <c r="BW11" s="5" t="s">
        <v>486</v>
      </c>
      <c r="BX11" s="5" t="s">
        <v>434</v>
      </c>
      <c r="BY11" s="5" t="s">
        <v>434</v>
      </c>
      <c r="BZ11" s="5">
        <v>1.7529999999999999</v>
      </c>
      <c r="CA11" s="5">
        <v>64.188999999999993</v>
      </c>
      <c r="CB11" s="5">
        <v>64.953999999999994</v>
      </c>
      <c r="CC11" s="5">
        <v>7</v>
      </c>
      <c r="CD11" s="5">
        <v>100</v>
      </c>
      <c r="CE11" s="5" t="s">
        <v>487</v>
      </c>
      <c r="CF11" s="5" t="s">
        <v>434</v>
      </c>
      <c r="CG11" s="5" t="s">
        <v>434</v>
      </c>
      <c r="CH11" s="5">
        <v>1.917</v>
      </c>
      <c r="CI11" s="5">
        <v>43.908999999999999</v>
      </c>
      <c r="CJ11" s="5">
        <v>45.161999999999999</v>
      </c>
      <c r="CK11" s="5">
        <v>7</v>
      </c>
      <c r="CL11" s="5">
        <v>52</v>
      </c>
      <c r="CM11" s="5" t="s">
        <v>488</v>
      </c>
      <c r="CN11" s="5" t="s">
        <v>286</v>
      </c>
      <c r="CO11" s="5" t="s">
        <v>244</v>
      </c>
      <c r="CP11" s="5" t="s">
        <v>268</v>
      </c>
      <c r="CQ11" s="5" t="s">
        <v>266</v>
      </c>
    </row>
    <row r="12" spans="1:95" x14ac:dyDescent="0.3">
      <c r="A12" s="4">
        <v>45608.602233796293</v>
      </c>
      <c r="B12" s="4">
        <v>45608.612523148149</v>
      </c>
      <c r="C12" s="5" t="s">
        <v>30</v>
      </c>
      <c r="D12" s="5" t="s">
        <v>188</v>
      </c>
      <c r="E12" s="5">
        <v>100</v>
      </c>
      <c r="F12" s="5">
        <v>889</v>
      </c>
      <c r="G12" s="5" t="b">
        <v>1</v>
      </c>
      <c r="H12" s="4">
        <v>45608.612534722219</v>
      </c>
      <c r="I12" s="5" t="s">
        <v>189</v>
      </c>
      <c r="J12" s="5"/>
      <c r="K12" s="5"/>
      <c r="L12" s="5"/>
      <c r="M12" s="5"/>
      <c r="N12" s="5">
        <v>42.2821</v>
      </c>
      <c r="O12" s="5">
        <v>-71.8262</v>
      </c>
      <c r="P12" s="5" t="s">
        <v>79</v>
      </c>
      <c r="Q12" s="5" t="s">
        <v>80</v>
      </c>
      <c r="R12" s="5">
        <v>1</v>
      </c>
      <c r="S12" s="5" t="s">
        <v>116</v>
      </c>
      <c r="T12" s="5" t="s">
        <v>82</v>
      </c>
      <c r="U12" s="5" t="s">
        <v>83</v>
      </c>
      <c r="V12" s="5" t="s">
        <v>127</v>
      </c>
      <c r="W12" s="5" t="s">
        <v>98</v>
      </c>
      <c r="X12" s="5" t="s">
        <v>128</v>
      </c>
      <c r="Y12" s="5"/>
      <c r="Z12" s="5" t="s">
        <v>87</v>
      </c>
      <c r="AA12" s="5" t="s">
        <v>88</v>
      </c>
      <c r="AB12" s="5" t="s">
        <v>431</v>
      </c>
      <c r="AC12" s="5" t="s">
        <v>431</v>
      </c>
      <c r="AD12" s="5">
        <v>14.228999999999999</v>
      </c>
      <c r="AE12" s="5">
        <v>35.262</v>
      </c>
      <c r="AF12" s="5">
        <v>36.795000000000002</v>
      </c>
      <c r="AG12" s="5">
        <v>2</v>
      </c>
      <c r="AH12" s="5">
        <v>61</v>
      </c>
      <c r="AI12" s="5" t="s">
        <v>489</v>
      </c>
      <c r="AJ12" s="5" t="s">
        <v>431</v>
      </c>
      <c r="AK12" s="5" t="s">
        <v>431</v>
      </c>
      <c r="AL12" s="5">
        <v>101.80500000000001</v>
      </c>
      <c r="AM12" s="5">
        <v>101.80500000000001</v>
      </c>
      <c r="AN12" s="5">
        <v>104.75700000000001</v>
      </c>
      <c r="AO12" s="5">
        <v>1</v>
      </c>
      <c r="AP12" s="5">
        <v>71</v>
      </c>
      <c r="AQ12" s="5" t="s">
        <v>490</v>
      </c>
      <c r="AR12" s="5" t="s">
        <v>434</v>
      </c>
      <c r="AS12" s="5" t="s">
        <v>434</v>
      </c>
      <c r="AT12" s="5">
        <v>16.096</v>
      </c>
      <c r="AU12" s="5">
        <v>16.096</v>
      </c>
      <c r="AV12" s="5">
        <v>25.707000000000001</v>
      </c>
      <c r="AW12" s="5">
        <v>1</v>
      </c>
      <c r="AX12" s="5">
        <v>66</v>
      </c>
      <c r="AY12" s="5" t="s">
        <v>491</v>
      </c>
      <c r="AZ12" s="5" t="s">
        <v>434</v>
      </c>
      <c r="BA12" s="5" t="s">
        <v>434</v>
      </c>
      <c r="BB12" s="5">
        <v>22.547999999999998</v>
      </c>
      <c r="BC12" s="5">
        <v>27.838000000000001</v>
      </c>
      <c r="BD12" s="5">
        <v>43.198</v>
      </c>
      <c r="BE12" s="5">
        <v>2</v>
      </c>
      <c r="BF12" s="5">
        <v>67</v>
      </c>
      <c r="BG12" s="5" t="s">
        <v>492</v>
      </c>
      <c r="BH12" s="5" t="s">
        <v>431</v>
      </c>
      <c r="BI12" s="5" t="s">
        <v>431</v>
      </c>
      <c r="BJ12" s="5">
        <v>23.876000000000001</v>
      </c>
      <c r="BK12" s="5">
        <v>24.370999999999999</v>
      </c>
      <c r="BL12" s="5">
        <v>25.646999999999998</v>
      </c>
      <c r="BM12" s="5">
        <v>2</v>
      </c>
      <c r="BN12" s="5">
        <v>68</v>
      </c>
      <c r="BO12" s="5" t="s">
        <v>493</v>
      </c>
      <c r="BP12" s="5" t="s">
        <v>431</v>
      </c>
      <c r="BQ12" s="5" t="s">
        <v>431</v>
      </c>
      <c r="BR12" s="5">
        <v>36.225000000000001</v>
      </c>
      <c r="BS12" s="5">
        <v>36.225000000000001</v>
      </c>
      <c r="BT12" s="5">
        <v>37.115000000000002</v>
      </c>
      <c r="BU12" s="5">
        <v>1</v>
      </c>
      <c r="BV12" s="5">
        <v>78</v>
      </c>
      <c r="BW12" s="5" t="s">
        <v>494</v>
      </c>
      <c r="BX12" s="5" t="s">
        <v>434</v>
      </c>
      <c r="BY12" s="5" t="s">
        <v>434</v>
      </c>
      <c r="BZ12" s="5">
        <v>71.116</v>
      </c>
      <c r="CA12" s="5">
        <v>71.116</v>
      </c>
      <c r="CB12" s="5">
        <v>80.744</v>
      </c>
      <c r="CC12" s="5">
        <v>1</v>
      </c>
      <c r="CD12" s="5">
        <v>81</v>
      </c>
      <c r="CE12" s="5" t="s">
        <v>495</v>
      </c>
      <c r="CF12" s="5" t="s">
        <v>431</v>
      </c>
      <c r="CG12" s="5" t="s">
        <v>434</v>
      </c>
      <c r="CH12" s="5">
        <v>29.738</v>
      </c>
      <c r="CI12" s="5">
        <v>29.738</v>
      </c>
      <c r="CJ12" s="5">
        <v>31.036000000000001</v>
      </c>
      <c r="CK12" s="5">
        <v>1</v>
      </c>
      <c r="CL12" s="5">
        <v>71</v>
      </c>
      <c r="CM12" s="5" t="s">
        <v>496</v>
      </c>
      <c r="CN12" s="5" t="s">
        <v>292</v>
      </c>
      <c r="CO12" s="5" t="s">
        <v>244</v>
      </c>
      <c r="CP12" s="5" t="s">
        <v>293</v>
      </c>
      <c r="CQ12" s="5" t="s">
        <v>262</v>
      </c>
    </row>
    <row r="13" spans="1:95" x14ac:dyDescent="0.3">
      <c r="A13" s="4">
        <v>45608.647083333337</v>
      </c>
      <c r="B13" s="4">
        <v>45608.65185185185</v>
      </c>
      <c r="C13" s="5" t="s">
        <v>30</v>
      </c>
      <c r="D13" s="5" t="s">
        <v>202</v>
      </c>
      <c r="E13" s="5">
        <v>100</v>
      </c>
      <c r="F13" s="5">
        <v>411</v>
      </c>
      <c r="G13" s="5" t="b">
        <v>1</v>
      </c>
      <c r="H13" s="4">
        <v>45608.651863425926</v>
      </c>
      <c r="I13" s="5" t="s">
        <v>203</v>
      </c>
      <c r="J13" s="5"/>
      <c r="K13" s="5"/>
      <c r="L13" s="5"/>
      <c r="M13" s="5"/>
      <c r="N13" s="5">
        <v>42.2821</v>
      </c>
      <c r="O13" s="5">
        <v>-71.8262</v>
      </c>
      <c r="P13" s="5" t="s">
        <v>79</v>
      </c>
      <c r="Q13" s="5" t="s">
        <v>80</v>
      </c>
      <c r="R13" s="5">
        <v>1</v>
      </c>
      <c r="S13" s="5" t="s">
        <v>91</v>
      </c>
      <c r="T13" s="5">
        <v>15.4</v>
      </c>
      <c r="U13" s="5" t="s">
        <v>93</v>
      </c>
      <c r="V13" s="5" t="s">
        <v>193</v>
      </c>
      <c r="W13" s="5" t="s">
        <v>98</v>
      </c>
      <c r="X13" s="5" t="s">
        <v>128</v>
      </c>
      <c r="Y13" s="5"/>
      <c r="Z13" s="5" t="s">
        <v>87</v>
      </c>
      <c r="AA13" s="5" t="s">
        <v>88</v>
      </c>
      <c r="AB13" s="5" t="s">
        <v>434</v>
      </c>
      <c r="AC13" s="5" t="s">
        <v>431</v>
      </c>
      <c r="AD13" s="5">
        <v>13.772</v>
      </c>
      <c r="AE13" s="5">
        <v>13.772</v>
      </c>
      <c r="AF13" s="5">
        <v>15.715</v>
      </c>
      <c r="AG13" s="5">
        <v>1</v>
      </c>
      <c r="AH13" s="5">
        <v>54</v>
      </c>
      <c r="AI13" s="5" t="s">
        <v>497</v>
      </c>
      <c r="AJ13" s="5" t="s">
        <v>431</v>
      </c>
      <c r="AK13" s="5" t="s">
        <v>431</v>
      </c>
      <c r="AL13" s="5">
        <v>9.0269999999999992</v>
      </c>
      <c r="AM13" s="5">
        <v>28.073</v>
      </c>
      <c r="AN13" s="5">
        <v>29.757999999999999</v>
      </c>
      <c r="AO13" s="5">
        <v>46</v>
      </c>
      <c r="AP13" s="5">
        <v>100</v>
      </c>
      <c r="AQ13" s="5" t="s">
        <v>498</v>
      </c>
      <c r="AR13" s="5" t="s">
        <v>434</v>
      </c>
      <c r="AS13" s="5" t="s">
        <v>434</v>
      </c>
      <c r="AT13" s="5">
        <v>12.772</v>
      </c>
      <c r="AU13" s="5">
        <v>12.772</v>
      </c>
      <c r="AV13" s="5">
        <v>13.553000000000001</v>
      </c>
      <c r="AW13" s="5">
        <v>1</v>
      </c>
      <c r="AX13" s="5">
        <v>59</v>
      </c>
      <c r="AY13" s="5" t="s">
        <v>499</v>
      </c>
      <c r="AZ13" s="5" t="s">
        <v>434</v>
      </c>
      <c r="BA13" s="5" t="s">
        <v>434</v>
      </c>
      <c r="BB13" s="5">
        <v>11.891</v>
      </c>
      <c r="BC13" s="5">
        <v>11.891</v>
      </c>
      <c r="BD13" s="5">
        <v>13.14</v>
      </c>
      <c r="BE13" s="5">
        <v>1</v>
      </c>
      <c r="BF13" s="5">
        <v>62</v>
      </c>
      <c r="BG13" s="5" t="s">
        <v>500</v>
      </c>
      <c r="BH13" s="5" t="s">
        <v>434</v>
      </c>
      <c r="BI13" s="5" t="s">
        <v>431</v>
      </c>
      <c r="BJ13" s="5">
        <v>31.251999999999999</v>
      </c>
      <c r="BK13" s="5">
        <v>31.251999999999999</v>
      </c>
      <c r="BL13" s="5">
        <v>32.405000000000001</v>
      </c>
      <c r="BM13" s="5">
        <v>1</v>
      </c>
      <c r="BN13" s="5">
        <v>51</v>
      </c>
      <c r="BO13" s="5" t="s">
        <v>501</v>
      </c>
      <c r="BP13" s="5" t="s">
        <v>431</v>
      </c>
      <c r="BQ13" s="5" t="s">
        <v>431</v>
      </c>
      <c r="BR13" s="5">
        <v>12.907</v>
      </c>
      <c r="BS13" s="5">
        <v>12.907</v>
      </c>
      <c r="BT13" s="5">
        <v>14.269</v>
      </c>
      <c r="BU13" s="5">
        <v>1</v>
      </c>
      <c r="BV13" s="5">
        <v>54</v>
      </c>
      <c r="BW13" s="5" t="s">
        <v>502</v>
      </c>
      <c r="BX13" s="5" t="s">
        <v>434</v>
      </c>
      <c r="BY13" s="5" t="s">
        <v>434</v>
      </c>
      <c r="BZ13" s="5">
        <v>0.86899999999999999</v>
      </c>
      <c r="CA13" s="5">
        <v>9.7520000000000007</v>
      </c>
      <c r="CB13" s="5">
        <v>13.68</v>
      </c>
      <c r="CC13" s="5">
        <v>2</v>
      </c>
      <c r="CD13" s="5">
        <v>45</v>
      </c>
      <c r="CE13" s="5" t="s">
        <v>503</v>
      </c>
      <c r="CF13" s="5" t="s">
        <v>434</v>
      </c>
      <c r="CG13" s="5" t="s">
        <v>434</v>
      </c>
      <c r="CH13" s="5">
        <v>60.445999999999998</v>
      </c>
      <c r="CI13" s="5">
        <v>60.445999999999998</v>
      </c>
      <c r="CJ13" s="5">
        <v>66.757999999999996</v>
      </c>
      <c r="CK13" s="5">
        <v>1</v>
      </c>
      <c r="CL13" s="5">
        <v>51</v>
      </c>
      <c r="CM13" s="5" t="s">
        <v>504</v>
      </c>
      <c r="CN13" s="5" t="s">
        <v>279</v>
      </c>
      <c r="CO13" s="5" t="s">
        <v>244</v>
      </c>
      <c r="CP13" s="5" t="s">
        <v>298</v>
      </c>
      <c r="CQ13" s="5" t="s">
        <v>267</v>
      </c>
    </row>
    <row r="14" spans="1:95" x14ac:dyDescent="0.3">
      <c r="A14" s="4">
        <v>45608.761365740742</v>
      </c>
      <c r="B14" s="4">
        <v>45608.777326388888</v>
      </c>
      <c r="C14" s="5" t="s">
        <v>30</v>
      </c>
      <c r="D14" s="5" t="s">
        <v>214</v>
      </c>
      <c r="E14" s="5">
        <v>100</v>
      </c>
      <c r="F14" s="5">
        <v>1378</v>
      </c>
      <c r="G14" s="5" t="b">
        <v>1</v>
      </c>
      <c r="H14" s="4">
        <v>45608.777326388888</v>
      </c>
      <c r="I14" s="5" t="s">
        <v>215</v>
      </c>
      <c r="J14" s="5"/>
      <c r="K14" s="5"/>
      <c r="L14" s="5"/>
      <c r="M14" s="5"/>
      <c r="N14" s="5">
        <v>42.255499999999998</v>
      </c>
      <c r="O14" s="5">
        <v>-71.771900000000002</v>
      </c>
      <c r="P14" s="5" t="s">
        <v>79</v>
      </c>
      <c r="Q14" s="5" t="s">
        <v>80</v>
      </c>
      <c r="R14" s="5">
        <v>1</v>
      </c>
      <c r="S14" s="5" t="s">
        <v>81</v>
      </c>
      <c r="T14" s="5" t="s">
        <v>82</v>
      </c>
      <c r="U14" s="5" t="s">
        <v>83</v>
      </c>
      <c r="V14" s="5" t="s">
        <v>151</v>
      </c>
      <c r="W14" s="5" t="s">
        <v>98</v>
      </c>
      <c r="X14" s="5" t="s">
        <v>86</v>
      </c>
      <c r="Y14" s="5"/>
      <c r="Z14" s="5" t="s">
        <v>140</v>
      </c>
      <c r="AA14" s="5" t="s">
        <v>216</v>
      </c>
      <c r="AB14" s="5" t="s">
        <v>434</v>
      </c>
      <c r="AC14" s="5" t="s">
        <v>431</v>
      </c>
      <c r="AD14" s="5">
        <v>31.46</v>
      </c>
      <c r="AE14" s="5">
        <v>98.38</v>
      </c>
      <c r="AF14" s="5">
        <v>102.794</v>
      </c>
      <c r="AG14" s="5">
        <v>2</v>
      </c>
      <c r="AH14" s="5">
        <v>70</v>
      </c>
      <c r="AI14" s="5" t="s">
        <v>505</v>
      </c>
      <c r="AJ14" s="5" t="s">
        <v>431</v>
      </c>
      <c r="AK14" s="5" t="s">
        <v>431</v>
      </c>
      <c r="AL14" s="5">
        <v>34.856999999999999</v>
      </c>
      <c r="AM14" s="5">
        <v>34.856999999999999</v>
      </c>
      <c r="AN14" s="5">
        <v>38.872999999999998</v>
      </c>
      <c r="AO14" s="5">
        <v>1</v>
      </c>
      <c r="AP14" s="5">
        <v>100</v>
      </c>
      <c r="AQ14" s="5" t="s">
        <v>506</v>
      </c>
      <c r="AR14" s="5" t="s">
        <v>434</v>
      </c>
      <c r="AS14" s="5" t="s">
        <v>434</v>
      </c>
      <c r="AT14" s="5">
        <v>53.7</v>
      </c>
      <c r="AU14" s="5">
        <v>53.7</v>
      </c>
      <c r="AV14" s="5">
        <v>58.481999999999999</v>
      </c>
      <c r="AW14" s="5">
        <v>1</v>
      </c>
      <c r="AX14" s="5">
        <v>100</v>
      </c>
      <c r="AY14" s="5" t="s">
        <v>507</v>
      </c>
      <c r="AZ14" s="5" t="s">
        <v>434</v>
      </c>
      <c r="BA14" s="5" t="s">
        <v>434</v>
      </c>
      <c r="BB14" s="5">
        <v>40.817</v>
      </c>
      <c r="BC14" s="5">
        <v>40.817</v>
      </c>
      <c r="BD14" s="5">
        <v>42.65</v>
      </c>
      <c r="BE14" s="5">
        <v>1</v>
      </c>
      <c r="BF14" s="5">
        <v>100</v>
      </c>
      <c r="BG14" s="5" t="s">
        <v>508</v>
      </c>
      <c r="BH14" s="5" t="s">
        <v>431</v>
      </c>
      <c r="BI14" s="5" t="s">
        <v>431</v>
      </c>
      <c r="BJ14" s="5">
        <v>35.886000000000003</v>
      </c>
      <c r="BK14" s="5">
        <v>35.886000000000003</v>
      </c>
      <c r="BL14" s="5">
        <v>37.341999999999999</v>
      </c>
      <c r="BM14" s="5">
        <v>1</v>
      </c>
      <c r="BN14" s="5">
        <v>100</v>
      </c>
      <c r="BO14" s="5" t="s">
        <v>509</v>
      </c>
      <c r="BP14" s="5" t="s">
        <v>431</v>
      </c>
      <c r="BQ14" s="5" t="s">
        <v>431</v>
      </c>
      <c r="BR14" s="5">
        <v>26.187999999999999</v>
      </c>
      <c r="BS14" s="5">
        <v>26.187999999999999</v>
      </c>
      <c r="BT14" s="5">
        <v>28.225999999999999</v>
      </c>
      <c r="BU14" s="5">
        <v>1</v>
      </c>
      <c r="BV14" s="5">
        <v>100</v>
      </c>
      <c r="BW14" s="5" t="s">
        <v>510</v>
      </c>
      <c r="BX14" s="5" t="s">
        <v>434</v>
      </c>
      <c r="BY14" s="5" t="s">
        <v>434</v>
      </c>
      <c r="BZ14" s="5">
        <v>29.06</v>
      </c>
      <c r="CA14" s="5">
        <v>29.06</v>
      </c>
      <c r="CB14" s="5">
        <v>30.481999999999999</v>
      </c>
      <c r="CC14" s="5">
        <v>1</v>
      </c>
      <c r="CD14" s="5">
        <v>100</v>
      </c>
      <c r="CE14" s="5" t="s">
        <v>511</v>
      </c>
      <c r="CF14" s="5" t="s">
        <v>431</v>
      </c>
      <c r="CG14" s="5" t="s">
        <v>434</v>
      </c>
      <c r="CH14" s="5">
        <v>36.581000000000003</v>
      </c>
      <c r="CI14" s="5">
        <v>36.581000000000003</v>
      </c>
      <c r="CJ14" s="5">
        <v>38.223999999999997</v>
      </c>
      <c r="CK14" s="5">
        <v>1</v>
      </c>
      <c r="CL14" s="5">
        <v>100</v>
      </c>
      <c r="CM14" s="5" t="s">
        <v>512</v>
      </c>
      <c r="CN14" s="5" t="s">
        <v>262</v>
      </c>
      <c r="CO14" s="5" t="s">
        <v>290</v>
      </c>
      <c r="CP14" s="5" t="s">
        <v>260</v>
      </c>
      <c r="CQ14" s="5" t="s">
        <v>302</v>
      </c>
    </row>
    <row r="15" spans="1:95" x14ac:dyDescent="0.3">
      <c r="A15" s="4">
        <v>45608.814849537041</v>
      </c>
      <c r="B15" s="4">
        <v>45608.869398148148</v>
      </c>
      <c r="C15" s="5" t="s">
        <v>30</v>
      </c>
      <c r="D15" s="5" t="s">
        <v>217</v>
      </c>
      <c r="E15" s="5">
        <v>100</v>
      </c>
      <c r="F15" s="5">
        <v>4713</v>
      </c>
      <c r="G15" s="5" t="b">
        <v>1</v>
      </c>
      <c r="H15" s="4">
        <v>45608.869409722225</v>
      </c>
      <c r="I15" s="5" t="s">
        <v>218</v>
      </c>
      <c r="J15" s="5"/>
      <c r="K15" s="5"/>
      <c r="L15" s="5"/>
      <c r="M15" s="5"/>
      <c r="N15" s="5">
        <v>42.397300000000001</v>
      </c>
      <c r="O15" s="5">
        <v>-71.037199999999999</v>
      </c>
      <c r="P15" s="5" t="s">
        <v>79</v>
      </c>
      <c r="Q15" s="5" t="s">
        <v>80</v>
      </c>
      <c r="R15" s="5">
        <v>1</v>
      </c>
      <c r="S15" s="5" t="s">
        <v>219</v>
      </c>
      <c r="T15" s="5" t="s">
        <v>220</v>
      </c>
      <c r="U15" s="5" t="s">
        <v>83</v>
      </c>
      <c r="V15" s="5" t="s">
        <v>131</v>
      </c>
      <c r="W15" s="5" t="s">
        <v>98</v>
      </c>
      <c r="X15" s="5" t="s">
        <v>86</v>
      </c>
      <c r="Y15" s="5"/>
      <c r="Z15" s="5" t="s">
        <v>87</v>
      </c>
      <c r="AA15" s="5" t="s">
        <v>113</v>
      </c>
      <c r="AB15" s="5" t="s">
        <v>434</v>
      </c>
      <c r="AC15" s="5" t="s">
        <v>431</v>
      </c>
      <c r="AD15" s="5">
        <v>53.960999999999999</v>
      </c>
      <c r="AE15" s="5">
        <v>53.960999999999999</v>
      </c>
      <c r="AF15" s="5">
        <v>87.072999999999993</v>
      </c>
      <c r="AG15" s="5">
        <v>1</v>
      </c>
      <c r="AH15" s="5">
        <v>40</v>
      </c>
      <c r="AI15" s="5" t="s">
        <v>513</v>
      </c>
      <c r="AJ15" s="5" t="s">
        <v>431</v>
      </c>
      <c r="AK15" s="5" t="s">
        <v>431</v>
      </c>
      <c r="AL15" s="5">
        <v>44.889000000000003</v>
      </c>
      <c r="AM15" s="5">
        <v>44.889000000000003</v>
      </c>
      <c r="AN15" s="5">
        <v>53.542999999999999</v>
      </c>
      <c r="AO15" s="5">
        <v>1</v>
      </c>
      <c r="AP15" s="5">
        <v>80</v>
      </c>
      <c r="AQ15" s="5" t="s">
        <v>514</v>
      </c>
      <c r="AR15" s="5" t="s">
        <v>431</v>
      </c>
      <c r="AS15" s="5" t="s">
        <v>434</v>
      </c>
      <c r="AT15" s="5">
        <v>71.430999999999997</v>
      </c>
      <c r="AU15" s="5">
        <v>71.430999999999997</v>
      </c>
      <c r="AV15" s="5">
        <v>73.989000000000004</v>
      </c>
      <c r="AW15" s="5">
        <v>1</v>
      </c>
      <c r="AX15" s="5">
        <v>80</v>
      </c>
      <c r="AY15" s="5" t="s">
        <v>515</v>
      </c>
      <c r="AZ15" s="5" t="s">
        <v>434</v>
      </c>
      <c r="BA15" s="5" t="s">
        <v>434</v>
      </c>
      <c r="BB15" s="5">
        <v>17.170000000000002</v>
      </c>
      <c r="BC15" s="5">
        <v>17.170000000000002</v>
      </c>
      <c r="BD15" s="5">
        <v>38.209000000000003</v>
      </c>
      <c r="BE15" s="5">
        <v>1</v>
      </c>
      <c r="BF15" s="5">
        <v>80</v>
      </c>
      <c r="BG15" s="5" t="s">
        <v>516</v>
      </c>
      <c r="BH15" s="5" t="s">
        <v>431</v>
      </c>
      <c r="BI15" s="5" t="s">
        <v>431</v>
      </c>
      <c r="BJ15" s="5">
        <v>222.35</v>
      </c>
      <c r="BK15" s="5">
        <v>222.35</v>
      </c>
      <c r="BL15" s="5">
        <v>224.934</v>
      </c>
      <c r="BM15" s="5">
        <v>1</v>
      </c>
      <c r="BN15" s="5">
        <v>80</v>
      </c>
      <c r="BO15" s="5" t="s">
        <v>517</v>
      </c>
      <c r="BP15" s="5" t="s">
        <v>434</v>
      </c>
      <c r="BQ15" s="5" t="s">
        <v>431</v>
      </c>
      <c r="BR15" s="5">
        <v>752.35900000000004</v>
      </c>
      <c r="BS15" s="5">
        <v>752.35900000000004</v>
      </c>
      <c r="BT15" s="5">
        <v>754.71</v>
      </c>
      <c r="BU15" s="5">
        <v>1</v>
      </c>
      <c r="BV15" s="5">
        <v>80</v>
      </c>
      <c r="BW15" s="5" t="s">
        <v>518</v>
      </c>
      <c r="BX15" s="5" t="s">
        <v>434</v>
      </c>
      <c r="BY15" s="5" t="s">
        <v>434</v>
      </c>
      <c r="BZ15" s="5">
        <v>25.678000000000001</v>
      </c>
      <c r="CA15" s="5">
        <v>25.678000000000001</v>
      </c>
      <c r="CB15" s="5">
        <v>36.341000000000001</v>
      </c>
      <c r="CC15" s="5">
        <v>1</v>
      </c>
      <c r="CD15" s="5">
        <v>80</v>
      </c>
      <c r="CE15" s="5" t="s">
        <v>519</v>
      </c>
      <c r="CF15" s="5" t="s">
        <v>434</v>
      </c>
      <c r="CG15" s="5" t="s">
        <v>434</v>
      </c>
      <c r="CH15" s="5">
        <v>16.617999999999999</v>
      </c>
      <c r="CI15" s="5">
        <v>16.617999999999999</v>
      </c>
      <c r="CJ15" s="5">
        <v>18.54</v>
      </c>
      <c r="CK15" s="5">
        <v>1</v>
      </c>
      <c r="CL15" s="5">
        <v>80</v>
      </c>
      <c r="CM15" s="5" t="s">
        <v>520</v>
      </c>
      <c r="CN15" s="5" t="s">
        <v>260</v>
      </c>
      <c r="CO15" s="5" t="s">
        <v>244</v>
      </c>
      <c r="CP15" s="5" t="s">
        <v>255</v>
      </c>
      <c r="CQ15" s="5" t="s">
        <v>262</v>
      </c>
    </row>
    <row r="16" spans="1:95" x14ac:dyDescent="0.3">
      <c r="A16" s="4">
        <v>45600.476145833331</v>
      </c>
      <c r="B16" s="4">
        <v>45609.669641203705</v>
      </c>
      <c r="C16" s="5" t="s">
        <v>30</v>
      </c>
      <c r="D16" s="5" t="s">
        <v>226</v>
      </c>
      <c r="E16" s="5">
        <v>100</v>
      </c>
      <c r="F16" s="5">
        <v>794317</v>
      </c>
      <c r="G16" s="5" t="b">
        <v>1</v>
      </c>
      <c r="H16" s="4">
        <v>45609.669652777775</v>
      </c>
      <c r="I16" s="5" t="s">
        <v>227</v>
      </c>
      <c r="J16" s="5"/>
      <c r="K16" s="5"/>
      <c r="L16" s="5"/>
      <c r="M16" s="5"/>
      <c r="N16" s="5">
        <v>42.262</v>
      </c>
      <c r="O16" s="5">
        <v>-71.800700000000006</v>
      </c>
      <c r="P16" s="5" t="s">
        <v>79</v>
      </c>
      <c r="Q16" s="5" t="s">
        <v>80</v>
      </c>
      <c r="R16" s="5">
        <v>1</v>
      </c>
      <c r="S16" s="5" t="s">
        <v>116</v>
      </c>
      <c r="T16" s="5" t="s">
        <v>82</v>
      </c>
      <c r="U16" s="5" t="s">
        <v>83</v>
      </c>
      <c r="V16" s="5" t="s">
        <v>127</v>
      </c>
      <c r="W16" s="5" t="s">
        <v>85</v>
      </c>
      <c r="X16" s="5" t="s">
        <v>95</v>
      </c>
      <c r="Y16" s="5"/>
      <c r="Z16" s="5" t="s">
        <v>118</v>
      </c>
      <c r="AA16" s="5" t="s">
        <v>88</v>
      </c>
      <c r="AB16" s="5" t="s">
        <v>431</v>
      </c>
      <c r="AC16" s="5" t="s">
        <v>431</v>
      </c>
      <c r="AD16" s="5">
        <v>16.297999999999998</v>
      </c>
      <c r="AE16" s="5">
        <v>16.297999999999998</v>
      </c>
      <c r="AF16" s="5">
        <v>17.584</v>
      </c>
      <c r="AG16" s="5">
        <v>1</v>
      </c>
      <c r="AH16" s="5">
        <v>100</v>
      </c>
      <c r="AI16" s="5"/>
      <c r="AJ16" s="5" t="s">
        <v>431</v>
      </c>
      <c r="AK16" s="5" t="s">
        <v>431</v>
      </c>
      <c r="AL16" s="5">
        <v>30.631</v>
      </c>
      <c r="AM16" s="5">
        <v>30.631</v>
      </c>
      <c r="AN16" s="5">
        <v>36.228999999999999</v>
      </c>
      <c r="AO16" s="5">
        <v>1</v>
      </c>
      <c r="AP16" s="5">
        <v>96</v>
      </c>
      <c r="AQ16" s="5"/>
      <c r="AR16" s="5" t="s">
        <v>431</v>
      </c>
      <c r="AS16" s="5" t="s">
        <v>434</v>
      </c>
      <c r="AT16" s="5">
        <v>3.1269999999999998</v>
      </c>
      <c r="AU16" s="5">
        <v>7.883</v>
      </c>
      <c r="AV16" s="5">
        <v>8.7379999999999995</v>
      </c>
      <c r="AW16" s="5">
        <v>2</v>
      </c>
      <c r="AX16" s="5">
        <v>98</v>
      </c>
      <c r="AY16" s="5"/>
      <c r="AZ16" s="5" t="s">
        <v>434</v>
      </c>
      <c r="BA16" s="5" t="s">
        <v>434</v>
      </c>
      <c r="BB16" s="5">
        <v>11942.136</v>
      </c>
      <c r="BC16" s="5">
        <v>11942.136</v>
      </c>
      <c r="BD16" s="5">
        <v>11944.273999999999</v>
      </c>
      <c r="BE16" s="5">
        <v>1</v>
      </c>
      <c r="BF16" s="5">
        <v>100</v>
      </c>
      <c r="BG16" s="5"/>
      <c r="BH16" s="5" t="s">
        <v>431</v>
      </c>
      <c r="BI16" s="5" t="s">
        <v>431</v>
      </c>
      <c r="BJ16" s="5">
        <v>21.821000000000002</v>
      </c>
      <c r="BK16" s="5">
        <v>24.652000000000001</v>
      </c>
      <c r="BL16" s="5">
        <v>26.343</v>
      </c>
      <c r="BM16" s="5">
        <v>2</v>
      </c>
      <c r="BN16" s="5">
        <v>99</v>
      </c>
      <c r="BO16" s="5"/>
      <c r="BP16" s="5" t="s">
        <v>434</v>
      </c>
      <c r="BQ16" s="5" t="s">
        <v>431</v>
      </c>
      <c r="BR16" s="5">
        <v>38.665999999999997</v>
      </c>
      <c r="BS16" s="5">
        <v>38.665999999999997</v>
      </c>
      <c r="BT16" s="5">
        <v>40.454999999999998</v>
      </c>
      <c r="BU16" s="5">
        <v>1</v>
      </c>
      <c r="BV16" s="5">
        <v>97</v>
      </c>
      <c r="BW16" s="5"/>
      <c r="BX16" s="5" t="s">
        <v>434</v>
      </c>
      <c r="BY16" s="5" t="s">
        <v>434</v>
      </c>
      <c r="BZ16" s="5">
        <v>16.887</v>
      </c>
      <c r="CA16" s="5">
        <v>16.887</v>
      </c>
      <c r="CB16" s="5">
        <v>19.36</v>
      </c>
      <c r="CC16" s="5">
        <v>1</v>
      </c>
      <c r="CD16" s="5">
        <v>83</v>
      </c>
      <c r="CE16" s="5"/>
      <c r="CF16" s="5" t="s">
        <v>434</v>
      </c>
      <c r="CG16" s="5" t="s">
        <v>434</v>
      </c>
      <c r="CH16" s="5">
        <v>23.263000000000002</v>
      </c>
      <c r="CI16" s="5">
        <v>23.263000000000002</v>
      </c>
      <c r="CJ16" s="5">
        <v>25.402999999999999</v>
      </c>
      <c r="CK16" s="5">
        <v>1</v>
      </c>
      <c r="CL16" s="5">
        <v>88</v>
      </c>
      <c r="CM16" s="5"/>
      <c r="CN16" s="5" t="s">
        <v>247</v>
      </c>
      <c r="CO16" s="5" t="s">
        <v>247</v>
      </c>
      <c r="CP16" s="5" t="s">
        <v>261</v>
      </c>
      <c r="CQ16" s="5" t="s">
        <v>291</v>
      </c>
    </row>
    <row r="17" spans="1:95" x14ac:dyDescent="0.3">
      <c r="A17" s="4">
        <v>45610.347696759258</v>
      </c>
      <c r="B17" s="4">
        <v>45610.355949074074</v>
      </c>
      <c r="C17" s="5" t="s">
        <v>30</v>
      </c>
      <c r="D17" s="5" t="s">
        <v>162</v>
      </c>
      <c r="E17" s="5">
        <v>100</v>
      </c>
      <c r="F17" s="5">
        <v>712</v>
      </c>
      <c r="G17" s="5" t="b">
        <v>1</v>
      </c>
      <c r="H17" s="4">
        <v>45610.355949074074</v>
      </c>
      <c r="I17" s="5" t="s">
        <v>228</v>
      </c>
      <c r="J17" s="5"/>
      <c r="K17" s="5"/>
      <c r="L17" s="5"/>
      <c r="M17" s="5"/>
      <c r="N17" s="5">
        <v>42.247399999999999</v>
      </c>
      <c r="O17" s="5">
        <v>-71.806899999999999</v>
      </c>
      <c r="P17" s="5" t="s">
        <v>79</v>
      </c>
      <c r="Q17" s="5" t="s">
        <v>80</v>
      </c>
      <c r="R17" s="5">
        <v>1</v>
      </c>
      <c r="S17" s="5" t="s">
        <v>81</v>
      </c>
      <c r="T17" s="5" t="s">
        <v>82</v>
      </c>
      <c r="U17" s="5" t="s">
        <v>83</v>
      </c>
      <c r="V17" s="5" t="s">
        <v>120</v>
      </c>
      <c r="W17" s="5" t="s">
        <v>98</v>
      </c>
      <c r="X17" s="5" t="s">
        <v>86</v>
      </c>
      <c r="Y17" s="5"/>
      <c r="Z17" s="5" t="s">
        <v>140</v>
      </c>
      <c r="AA17" s="5" t="s">
        <v>229</v>
      </c>
      <c r="AB17" s="5" t="s">
        <v>431</v>
      </c>
      <c r="AC17" s="5" t="s">
        <v>431</v>
      </c>
      <c r="AD17" s="5">
        <v>35.319000000000003</v>
      </c>
      <c r="AE17" s="5">
        <v>35.319000000000003</v>
      </c>
      <c r="AF17" s="5">
        <v>37.338999999999999</v>
      </c>
      <c r="AG17" s="5">
        <v>1</v>
      </c>
      <c r="AH17" s="5">
        <v>61</v>
      </c>
      <c r="AI17" s="5"/>
      <c r="AJ17" s="5" t="s">
        <v>431</v>
      </c>
      <c r="AK17" s="5" t="s">
        <v>431</v>
      </c>
      <c r="AL17" s="5">
        <v>21.576000000000001</v>
      </c>
      <c r="AM17" s="5">
        <v>21.576000000000001</v>
      </c>
      <c r="AN17" s="5">
        <v>24.262</v>
      </c>
      <c r="AO17" s="5">
        <v>1</v>
      </c>
      <c r="AP17" s="5">
        <v>57</v>
      </c>
      <c r="AQ17" s="5"/>
      <c r="AR17" s="5" t="s">
        <v>434</v>
      </c>
      <c r="AS17" s="5" t="s">
        <v>434</v>
      </c>
      <c r="AT17" s="5">
        <v>9.8879999999999999</v>
      </c>
      <c r="AU17" s="5">
        <v>62.828000000000003</v>
      </c>
      <c r="AV17" s="5">
        <v>64.819999999999993</v>
      </c>
      <c r="AW17" s="5">
        <v>6</v>
      </c>
      <c r="AX17" s="5">
        <v>72</v>
      </c>
      <c r="AY17" s="5"/>
      <c r="AZ17" s="5" t="s">
        <v>431</v>
      </c>
      <c r="BA17" s="5" t="s">
        <v>434</v>
      </c>
      <c r="BB17" s="5">
        <v>14.12</v>
      </c>
      <c r="BC17" s="5">
        <v>14.12</v>
      </c>
      <c r="BD17" s="5">
        <v>18.963999999999999</v>
      </c>
      <c r="BE17" s="5">
        <v>1</v>
      </c>
      <c r="BF17" s="5">
        <v>66</v>
      </c>
      <c r="BG17" s="5"/>
      <c r="BH17" s="5" t="s">
        <v>431</v>
      </c>
      <c r="BI17" s="5" t="s">
        <v>431</v>
      </c>
      <c r="BJ17" s="5">
        <v>20.902999999999999</v>
      </c>
      <c r="BK17" s="5">
        <v>20.902999999999999</v>
      </c>
      <c r="BL17" s="5">
        <v>33.125</v>
      </c>
      <c r="BM17" s="5">
        <v>1</v>
      </c>
      <c r="BN17" s="5">
        <v>59</v>
      </c>
      <c r="BO17" s="5"/>
      <c r="BP17" s="5" t="s">
        <v>431</v>
      </c>
      <c r="BQ17" s="5" t="s">
        <v>431</v>
      </c>
      <c r="BR17" s="5">
        <v>16.797000000000001</v>
      </c>
      <c r="BS17" s="5">
        <v>16.797000000000001</v>
      </c>
      <c r="BT17" s="5">
        <v>19.387</v>
      </c>
      <c r="BU17" s="5">
        <v>1</v>
      </c>
      <c r="BV17" s="5">
        <v>60</v>
      </c>
      <c r="BW17" s="5"/>
      <c r="BX17" s="5" t="s">
        <v>434</v>
      </c>
      <c r="BY17" s="5" t="s">
        <v>434</v>
      </c>
      <c r="BZ17" s="5">
        <v>23.391999999999999</v>
      </c>
      <c r="CA17" s="5">
        <v>23.391999999999999</v>
      </c>
      <c r="CB17" s="5">
        <v>26.414999999999999</v>
      </c>
      <c r="CC17" s="5">
        <v>1</v>
      </c>
      <c r="CD17" s="5">
        <v>60</v>
      </c>
      <c r="CE17" s="5"/>
      <c r="CF17" s="5" t="s">
        <v>431</v>
      </c>
      <c r="CG17" s="5" t="s">
        <v>434</v>
      </c>
      <c r="CH17" s="5">
        <v>22.181000000000001</v>
      </c>
      <c r="CI17" s="5">
        <v>22.181000000000001</v>
      </c>
      <c r="CJ17" s="5">
        <v>26.911999999999999</v>
      </c>
      <c r="CK17" s="5">
        <v>1</v>
      </c>
      <c r="CL17" s="5">
        <v>73</v>
      </c>
      <c r="CM17" s="5"/>
      <c r="CN17" s="5" t="s">
        <v>257</v>
      </c>
      <c r="CO17" s="5" t="s">
        <v>258</v>
      </c>
      <c r="CP17" s="5" t="s">
        <v>287</v>
      </c>
      <c r="CQ17" s="5" t="s">
        <v>256</v>
      </c>
    </row>
    <row r="18" spans="1:95" x14ac:dyDescent="0.3">
      <c r="A18" s="4">
        <v>45611.848032407404</v>
      </c>
      <c r="B18" s="4">
        <v>45611.865451388891</v>
      </c>
      <c r="C18" s="5" t="s">
        <v>30</v>
      </c>
      <c r="D18" s="5" t="s">
        <v>1139</v>
      </c>
      <c r="E18" s="5">
        <v>100</v>
      </c>
      <c r="F18" s="5">
        <v>1505</v>
      </c>
      <c r="G18" s="5" t="b">
        <v>1</v>
      </c>
      <c r="H18" s="4">
        <v>45611.86546296296</v>
      </c>
      <c r="I18" s="5" t="s">
        <v>1140</v>
      </c>
      <c r="J18" s="5"/>
      <c r="K18" s="5"/>
      <c r="L18" s="5"/>
      <c r="M18" s="5"/>
      <c r="N18" s="5">
        <v>42.255499999999998</v>
      </c>
      <c r="O18" s="5">
        <v>-71.771900000000002</v>
      </c>
      <c r="P18" s="5" t="s">
        <v>79</v>
      </c>
      <c r="Q18" s="5" t="s">
        <v>80</v>
      </c>
      <c r="R18" s="5">
        <v>1</v>
      </c>
      <c r="S18" s="5" t="s">
        <v>116</v>
      </c>
      <c r="T18" s="5" t="s">
        <v>82</v>
      </c>
      <c r="U18" s="5" t="s">
        <v>93</v>
      </c>
      <c r="V18" s="5" t="s">
        <v>127</v>
      </c>
      <c r="W18" s="5" t="s">
        <v>98</v>
      </c>
      <c r="X18" s="5" t="s">
        <v>128</v>
      </c>
      <c r="Y18" s="5"/>
      <c r="Z18" s="5" t="s">
        <v>87</v>
      </c>
      <c r="AA18" s="5" t="s">
        <v>88</v>
      </c>
      <c r="AB18" s="5" t="s">
        <v>431</v>
      </c>
      <c r="AC18" s="5" t="s">
        <v>431</v>
      </c>
      <c r="AD18" s="5">
        <v>29.212</v>
      </c>
      <c r="AE18" s="5">
        <v>29.212</v>
      </c>
      <c r="AF18" s="5">
        <v>30.774999999999999</v>
      </c>
      <c r="AG18" s="5">
        <v>1</v>
      </c>
      <c r="AH18" s="5">
        <v>60</v>
      </c>
      <c r="AI18" s="5" t="s">
        <v>1154</v>
      </c>
      <c r="AJ18" s="5" t="s">
        <v>431</v>
      </c>
      <c r="AK18" s="5" t="s">
        <v>431</v>
      </c>
      <c r="AL18" s="5">
        <v>58.151000000000003</v>
      </c>
      <c r="AM18" s="5">
        <v>58.151000000000003</v>
      </c>
      <c r="AN18" s="5">
        <v>59.692</v>
      </c>
      <c r="AO18" s="5">
        <v>1</v>
      </c>
      <c r="AP18" s="5">
        <v>100</v>
      </c>
      <c r="AQ18" s="5" t="s">
        <v>1155</v>
      </c>
      <c r="AR18" s="5" t="s">
        <v>431</v>
      </c>
      <c r="AS18" s="5" t="s">
        <v>434</v>
      </c>
      <c r="AT18" s="5">
        <v>17.123999999999999</v>
      </c>
      <c r="AU18" s="5">
        <v>17.123999999999999</v>
      </c>
      <c r="AV18" s="5">
        <v>18.783000000000001</v>
      </c>
      <c r="AW18" s="5">
        <v>1</v>
      </c>
      <c r="AX18" s="5">
        <v>100</v>
      </c>
      <c r="AY18" s="5" t="s">
        <v>1156</v>
      </c>
      <c r="AZ18" s="5" t="s">
        <v>434</v>
      </c>
      <c r="BA18" s="5" t="s">
        <v>434</v>
      </c>
      <c r="BB18" s="5">
        <v>32.923999999999999</v>
      </c>
      <c r="BC18" s="5">
        <v>32.923999999999999</v>
      </c>
      <c r="BD18" s="5">
        <v>34.481000000000002</v>
      </c>
      <c r="BE18" s="5">
        <v>1</v>
      </c>
      <c r="BF18" s="5">
        <v>100</v>
      </c>
      <c r="BG18" s="5" t="s">
        <v>1157</v>
      </c>
      <c r="BH18" s="5" t="s">
        <v>431</v>
      </c>
      <c r="BI18" s="5" t="s">
        <v>431</v>
      </c>
      <c r="BJ18" s="5">
        <v>78.206999999999994</v>
      </c>
      <c r="BK18" s="5">
        <v>78.792000000000002</v>
      </c>
      <c r="BL18" s="5">
        <v>82.221000000000004</v>
      </c>
      <c r="BM18" s="5">
        <v>2</v>
      </c>
      <c r="BN18" s="5">
        <v>100</v>
      </c>
      <c r="BO18" s="5" t="s">
        <v>1158</v>
      </c>
      <c r="BP18" s="5" t="s">
        <v>431</v>
      </c>
      <c r="BQ18" s="5" t="s">
        <v>431</v>
      </c>
      <c r="BR18" s="5">
        <v>63.451000000000001</v>
      </c>
      <c r="BS18" s="5">
        <v>63.451000000000001</v>
      </c>
      <c r="BT18" s="5">
        <v>65.698999999999998</v>
      </c>
      <c r="BU18" s="5">
        <v>1</v>
      </c>
      <c r="BV18" s="5">
        <v>100</v>
      </c>
      <c r="BW18" s="5" t="s">
        <v>1159</v>
      </c>
      <c r="BX18" s="5" t="s">
        <v>431</v>
      </c>
      <c r="BY18" s="5" t="s">
        <v>434</v>
      </c>
      <c r="BZ18" s="5">
        <v>107.45099999999999</v>
      </c>
      <c r="CA18" s="5">
        <v>107.45099999999999</v>
      </c>
      <c r="CB18" s="5">
        <v>109.643</v>
      </c>
      <c r="CC18" s="5">
        <v>1</v>
      </c>
      <c r="CD18" s="5">
        <v>50</v>
      </c>
      <c r="CE18" s="5" t="s">
        <v>1160</v>
      </c>
      <c r="CF18" s="5" t="s">
        <v>434</v>
      </c>
      <c r="CG18" s="5" t="s">
        <v>434</v>
      </c>
      <c r="CH18" s="5">
        <v>44.276000000000003</v>
      </c>
      <c r="CI18" s="5">
        <v>47.593000000000004</v>
      </c>
      <c r="CJ18" s="5">
        <v>55.22</v>
      </c>
      <c r="CK18" s="5">
        <v>2</v>
      </c>
      <c r="CL18" s="5">
        <v>50</v>
      </c>
      <c r="CM18" s="5" t="s">
        <v>1161</v>
      </c>
      <c r="CN18" s="5" t="s">
        <v>257</v>
      </c>
      <c r="CO18" s="5" t="s">
        <v>244</v>
      </c>
      <c r="CP18" s="5" t="s">
        <v>256</v>
      </c>
      <c r="CQ18" s="5" t="s">
        <v>246</v>
      </c>
    </row>
    <row r="19" spans="1:95" x14ac:dyDescent="0.3">
      <c r="A19" s="4">
        <v>45615.626203703701</v>
      </c>
      <c r="B19" s="4">
        <v>45615.647037037037</v>
      </c>
      <c r="C19" s="5" t="s">
        <v>30</v>
      </c>
      <c r="D19" s="5" t="s">
        <v>1148</v>
      </c>
      <c r="E19" s="5">
        <v>100</v>
      </c>
      <c r="F19" s="5">
        <v>1799</v>
      </c>
      <c r="G19" s="5" t="b">
        <v>1</v>
      </c>
      <c r="H19" s="4">
        <v>45615.647037037037</v>
      </c>
      <c r="I19" s="5" t="s">
        <v>1149</v>
      </c>
      <c r="J19" s="5"/>
      <c r="K19" s="5"/>
      <c r="L19" s="5"/>
      <c r="M19" s="5"/>
      <c r="N19" s="5">
        <v>42.2821</v>
      </c>
      <c r="O19" s="5">
        <v>-71.8262</v>
      </c>
      <c r="P19" s="5" t="s">
        <v>79</v>
      </c>
      <c r="Q19" s="5" t="s">
        <v>80</v>
      </c>
      <c r="R19" s="5">
        <v>0.69999998807907104</v>
      </c>
      <c r="S19" s="5" t="s">
        <v>116</v>
      </c>
      <c r="T19" s="5" t="s">
        <v>1150</v>
      </c>
      <c r="U19" s="5" t="s">
        <v>83</v>
      </c>
      <c r="V19" s="5" t="s">
        <v>1151</v>
      </c>
      <c r="W19" s="5" t="s">
        <v>98</v>
      </c>
      <c r="X19" s="5" t="s">
        <v>95</v>
      </c>
      <c r="Y19" s="5"/>
      <c r="Z19" s="5" t="s">
        <v>118</v>
      </c>
      <c r="AA19" s="5" t="s">
        <v>175</v>
      </c>
      <c r="AB19" s="5" t="s">
        <v>431</v>
      </c>
      <c r="AC19" s="5" t="s">
        <v>431</v>
      </c>
      <c r="AD19" s="5">
        <v>34.326999999999998</v>
      </c>
      <c r="AE19" s="5">
        <v>34.326999999999998</v>
      </c>
      <c r="AF19" s="5">
        <v>36.018000000000001</v>
      </c>
      <c r="AG19" s="5">
        <v>1</v>
      </c>
      <c r="AH19" s="5">
        <v>51</v>
      </c>
      <c r="AI19" s="5" t="s">
        <v>1162</v>
      </c>
      <c r="AJ19" s="5" t="s">
        <v>434</v>
      </c>
      <c r="AK19" s="5" t="s">
        <v>431</v>
      </c>
      <c r="AL19" s="5">
        <v>66.787999999999997</v>
      </c>
      <c r="AM19" s="5">
        <v>93.531999999999996</v>
      </c>
      <c r="AN19" s="5">
        <v>95.555000000000007</v>
      </c>
      <c r="AO19" s="5">
        <v>2</v>
      </c>
      <c r="AP19" s="5">
        <v>100</v>
      </c>
      <c r="AQ19" s="5" t="s">
        <v>1163</v>
      </c>
      <c r="AR19" s="5" t="s">
        <v>434</v>
      </c>
      <c r="AS19" s="5" t="s">
        <v>434</v>
      </c>
      <c r="AT19" s="5">
        <v>63.421999999999997</v>
      </c>
      <c r="AU19" s="5">
        <v>63.421999999999997</v>
      </c>
      <c r="AV19" s="5">
        <v>65.052999999999997</v>
      </c>
      <c r="AW19" s="5">
        <v>1</v>
      </c>
      <c r="AX19" s="5">
        <v>100</v>
      </c>
      <c r="AY19" s="5" t="s">
        <v>1164</v>
      </c>
      <c r="AZ19" s="5" t="s">
        <v>434</v>
      </c>
      <c r="BA19" s="5" t="s">
        <v>434</v>
      </c>
      <c r="BB19" s="5">
        <v>57.976999999999997</v>
      </c>
      <c r="BC19" s="5">
        <v>57.976999999999997</v>
      </c>
      <c r="BD19" s="5">
        <v>60.558999999999997</v>
      </c>
      <c r="BE19" s="5">
        <v>1</v>
      </c>
      <c r="BF19" s="5">
        <v>85</v>
      </c>
      <c r="BG19" s="5" t="s">
        <v>1165</v>
      </c>
      <c r="BH19" s="5" t="s">
        <v>434</v>
      </c>
      <c r="BI19" s="5" t="s">
        <v>431</v>
      </c>
      <c r="BJ19" s="5">
        <v>154.607</v>
      </c>
      <c r="BK19" s="5">
        <v>154.607</v>
      </c>
      <c r="BL19" s="5">
        <v>156.86799999999999</v>
      </c>
      <c r="BM19" s="5">
        <v>1</v>
      </c>
      <c r="BN19" s="5">
        <v>83</v>
      </c>
      <c r="BO19" s="5"/>
      <c r="BP19" s="5" t="s">
        <v>434</v>
      </c>
      <c r="BQ19" s="5" t="s">
        <v>431</v>
      </c>
      <c r="BR19" s="5">
        <v>521.62099999999998</v>
      </c>
      <c r="BS19" s="5">
        <v>521.62099999999998</v>
      </c>
      <c r="BT19" s="5">
        <v>524.67399999999998</v>
      </c>
      <c r="BU19" s="5">
        <v>1</v>
      </c>
      <c r="BV19" s="5">
        <v>100</v>
      </c>
      <c r="BW19" s="5" t="s">
        <v>1166</v>
      </c>
      <c r="BX19" s="5" t="s">
        <v>434</v>
      </c>
      <c r="BY19" s="5" t="s">
        <v>434</v>
      </c>
      <c r="BZ19" s="5">
        <v>251.93700000000001</v>
      </c>
      <c r="CA19" s="5">
        <v>251.93700000000001</v>
      </c>
      <c r="CB19" s="5">
        <v>253.78700000000001</v>
      </c>
      <c r="CC19" s="5">
        <v>1</v>
      </c>
      <c r="CD19" s="5">
        <v>50</v>
      </c>
      <c r="CE19" s="5"/>
      <c r="CF19" s="5" t="s">
        <v>434</v>
      </c>
      <c r="CG19" s="5" t="s">
        <v>434</v>
      </c>
      <c r="CH19" s="5">
        <v>95.688999999999993</v>
      </c>
      <c r="CI19" s="5">
        <v>95.688999999999993</v>
      </c>
      <c r="CJ19" s="5">
        <v>97.210999999999999</v>
      </c>
      <c r="CK19" s="5">
        <v>1</v>
      </c>
      <c r="CL19" s="5">
        <v>100</v>
      </c>
      <c r="CM19" s="5" t="s">
        <v>1167</v>
      </c>
      <c r="CN19" s="5" t="s">
        <v>271</v>
      </c>
      <c r="CO19" s="5" t="s">
        <v>244</v>
      </c>
      <c r="CP19" s="5" t="s">
        <v>276</v>
      </c>
      <c r="CQ19" s="5" t="s">
        <v>283</v>
      </c>
    </row>
  </sheetData>
  <autoFilter ref="A1:CM17" xr:uid="{5FD63753-AA83-43FC-BDB5-3B2AC00494E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F162A-C93F-49F4-AEFD-5C422595431D}">
  <dimension ref="A1:CR16"/>
  <sheetViews>
    <sheetView workbookViewId="0">
      <selection activeCell="A21" sqref="A21"/>
    </sheetView>
  </sheetViews>
  <sheetFormatPr defaultColWidth="10.77734375" defaultRowHeight="14.4" x14ac:dyDescent="0.3"/>
  <cols>
    <col min="1" max="1" width="55.109375" bestFit="1" customWidth="1"/>
    <col min="2" max="2" width="54.44140625" bestFit="1" customWidth="1"/>
    <col min="3" max="3" width="20.21875" bestFit="1" customWidth="1"/>
    <col min="4" max="4" width="24" bestFit="1" customWidth="1"/>
    <col min="5" max="5" width="22.6640625" bestFit="1" customWidth="1"/>
    <col min="6" max="6" width="22.5546875" bestFit="1" customWidth="1"/>
    <col min="7" max="7" width="22.21875" bestFit="1" customWidth="1"/>
    <col min="8" max="8" width="59.44140625" bestFit="1" customWidth="1"/>
    <col min="9" max="9" width="23.44140625" bestFit="1" customWidth="1"/>
    <col min="10" max="10" width="32.44140625" bestFit="1" customWidth="1"/>
    <col min="11" max="11" width="32.77734375" bestFit="1" customWidth="1"/>
    <col min="12" max="12" width="28.21875" bestFit="1" customWidth="1"/>
    <col min="13" max="13" width="36.33203125" bestFit="1" customWidth="1"/>
    <col min="14" max="14" width="29.88671875" bestFit="1" customWidth="1"/>
    <col min="15" max="15" width="31.44140625" bestFit="1" customWidth="1"/>
    <col min="16" max="16" width="33.6640625" bestFit="1" customWidth="1"/>
    <col min="17" max="17" width="27.6640625" bestFit="1" customWidth="1"/>
    <col min="18" max="18" width="32.44140625" bestFit="1" customWidth="1"/>
    <col min="19" max="19" width="38.88671875" bestFit="1" customWidth="1"/>
    <col min="20" max="20" width="38.33203125" bestFit="1" customWidth="1"/>
    <col min="21" max="21" width="47.88671875" bestFit="1" customWidth="1"/>
    <col min="22" max="22" width="41.109375" bestFit="1" customWidth="1"/>
    <col min="23" max="23" width="28.109375" bestFit="1" customWidth="1"/>
    <col min="24" max="24" width="73.6640625" bestFit="1" customWidth="1"/>
    <col min="25" max="25" width="85" bestFit="1" customWidth="1"/>
    <col min="26" max="26" width="50.44140625" bestFit="1" customWidth="1"/>
    <col min="27" max="27" width="42.44140625" bestFit="1" customWidth="1"/>
    <col min="28" max="28" width="46.6640625" bestFit="1" customWidth="1"/>
    <col min="29" max="29" width="10.44140625" bestFit="1" customWidth="1"/>
    <col min="30" max="30" width="34.33203125" bestFit="1" customWidth="1"/>
    <col min="31" max="31" width="33.6640625" bestFit="1" customWidth="1"/>
    <col min="32" max="32" width="35.5546875" bestFit="1" customWidth="1"/>
    <col min="33" max="33" width="35.88671875" bestFit="1" customWidth="1"/>
    <col min="34" max="34" width="102" bestFit="1" customWidth="1"/>
    <col min="35" max="35" width="255.77734375" bestFit="1" customWidth="1"/>
    <col min="36" max="36" width="21.44140625" bestFit="1" customWidth="1"/>
    <col min="37" max="37" width="10.44140625" bestFit="1" customWidth="1"/>
    <col min="38" max="38" width="34.33203125" bestFit="1" customWidth="1"/>
    <col min="39" max="39" width="33.6640625" bestFit="1" customWidth="1"/>
    <col min="40" max="40" width="35.5546875" bestFit="1" customWidth="1"/>
    <col min="41" max="41" width="35.88671875" bestFit="1" customWidth="1"/>
    <col min="42" max="42" width="102" bestFit="1" customWidth="1"/>
    <col min="43" max="43" width="255.77734375" bestFit="1" customWidth="1"/>
    <col min="44" max="44" width="91.77734375" bestFit="1" customWidth="1"/>
    <col min="45" max="45" width="10.44140625" bestFit="1" customWidth="1"/>
    <col min="46" max="46" width="34.33203125" bestFit="1" customWidth="1"/>
    <col min="47" max="47" width="33.6640625" bestFit="1" customWidth="1"/>
    <col min="48" max="48" width="35.5546875" bestFit="1" customWidth="1"/>
    <col min="49" max="49" width="35.88671875" bestFit="1" customWidth="1"/>
    <col min="50" max="50" width="102" bestFit="1" customWidth="1"/>
    <col min="51" max="51" width="255.77734375" bestFit="1" customWidth="1"/>
    <col min="52" max="52" width="77.33203125" bestFit="1" customWidth="1"/>
    <col min="53" max="53" width="10.44140625" bestFit="1" customWidth="1"/>
    <col min="54" max="54" width="34.33203125" bestFit="1" customWidth="1"/>
    <col min="55" max="55" width="33.6640625" bestFit="1" customWidth="1"/>
    <col min="56" max="56" width="35.5546875" bestFit="1" customWidth="1"/>
    <col min="57" max="57" width="35.88671875" bestFit="1" customWidth="1"/>
    <col min="58" max="58" width="102" bestFit="1" customWidth="1"/>
    <col min="59" max="59" width="255.77734375" bestFit="1" customWidth="1"/>
    <col min="60" max="60" width="21.44140625" bestFit="1" customWidth="1"/>
    <col min="61" max="61" width="10.44140625" bestFit="1" customWidth="1"/>
    <col min="62" max="62" width="34.33203125" bestFit="1" customWidth="1"/>
    <col min="63" max="63" width="33.6640625" bestFit="1" customWidth="1"/>
    <col min="64" max="64" width="35.5546875" bestFit="1" customWidth="1"/>
    <col min="65" max="65" width="35.88671875" bestFit="1" customWidth="1"/>
    <col min="66" max="66" width="102" bestFit="1" customWidth="1"/>
    <col min="67" max="67" width="255.77734375" bestFit="1" customWidth="1"/>
    <col min="68" max="68" width="21.44140625" bestFit="1" customWidth="1"/>
    <col min="69" max="69" width="10.44140625" bestFit="1" customWidth="1"/>
    <col min="70" max="70" width="34.33203125" bestFit="1" customWidth="1"/>
    <col min="71" max="71" width="33.6640625" bestFit="1" customWidth="1"/>
    <col min="72" max="72" width="35.5546875" bestFit="1" customWidth="1"/>
    <col min="73" max="73" width="35.88671875" bestFit="1" customWidth="1"/>
    <col min="74" max="74" width="102" bestFit="1" customWidth="1"/>
    <col min="75" max="75" width="255.77734375" bestFit="1" customWidth="1"/>
    <col min="76" max="76" width="86.88671875" bestFit="1" customWidth="1"/>
    <col min="77" max="77" width="10.44140625" bestFit="1" customWidth="1"/>
    <col min="78" max="78" width="34.33203125" bestFit="1" customWidth="1"/>
    <col min="79" max="79" width="33.6640625" bestFit="1" customWidth="1"/>
    <col min="80" max="80" width="35.5546875" bestFit="1" customWidth="1"/>
    <col min="81" max="81" width="35.88671875" bestFit="1" customWidth="1"/>
    <col min="82" max="82" width="102" bestFit="1" customWidth="1"/>
    <col min="83" max="83" width="255.77734375" bestFit="1" customWidth="1"/>
    <col min="84" max="84" width="21.44140625" bestFit="1" customWidth="1"/>
    <col min="85" max="85" width="10.44140625" bestFit="1" customWidth="1"/>
    <col min="86" max="86" width="34.33203125" bestFit="1" customWidth="1"/>
    <col min="87" max="87" width="33.6640625" bestFit="1" customWidth="1"/>
    <col min="88" max="88" width="35.5546875" bestFit="1" customWidth="1"/>
    <col min="89" max="89" width="35.88671875" bestFit="1" customWidth="1"/>
    <col min="90" max="90" width="102" bestFit="1" customWidth="1"/>
    <col min="91" max="95" width="255.77734375" bestFit="1" customWidth="1"/>
    <col min="96" max="96" width="19.6640625" bestFit="1" customWidth="1"/>
  </cols>
  <sheetData>
    <row r="1" spans="1:96"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521</v>
      </c>
      <c r="AC1" s="2" t="s">
        <v>1108</v>
      </c>
      <c r="AD1" s="2" t="s">
        <v>522</v>
      </c>
      <c r="AE1" s="2" t="s">
        <v>523</v>
      </c>
      <c r="AF1" s="2" t="s">
        <v>524</v>
      </c>
      <c r="AG1" s="2" t="s">
        <v>525</v>
      </c>
      <c r="AH1" s="2" t="s">
        <v>526</v>
      </c>
      <c r="AI1" s="2" t="s">
        <v>527</v>
      </c>
      <c r="AJ1" s="2" t="s">
        <v>528</v>
      </c>
      <c r="AK1" s="2" t="s">
        <v>1109</v>
      </c>
      <c r="AL1" s="2" t="s">
        <v>529</v>
      </c>
      <c r="AM1" s="2" t="s">
        <v>530</v>
      </c>
      <c r="AN1" s="2" t="s">
        <v>531</v>
      </c>
      <c r="AO1" s="2" t="s">
        <v>532</v>
      </c>
      <c r="AP1" s="2" t="s">
        <v>533</v>
      </c>
      <c r="AQ1" s="2" t="s">
        <v>534</v>
      </c>
      <c r="AR1" s="2" t="s">
        <v>535</v>
      </c>
      <c r="AS1" s="2" t="s">
        <v>1110</v>
      </c>
      <c r="AT1" s="2" t="s">
        <v>536</v>
      </c>
      <c r="AU1" s="2" t="s">
        <v>537</v>
      </c>
      <c r="AV1" s="2" t="s">
        <v>538</v>
      </c>
      <c r="AW1" s="2" t="s">
        <v>539</v>
      </c>
      <c r="AX1" s="2" t="s">
        <v>540</v>
      </c>
      <c r="AY1" s="2" t="s">
        <v>541</v>
      </c>
      <c r="AZ1" s="2" t="s">
        <v>542</v>
      </c>
      <c r="BA1" s="2" t="s">
        <v>1111</v>
      </c>
      <c r="BB1" s="2" t="s">
        <v>543</v>
      </c>
      <c r="BC1" s="2" t="s">
        <v>544</v>
      </c>
      <c r="BD1" s="2" t="s">
        <v>545</v>
      </c>
      <c r="BE1" s="2" t="s">
        <v>546</v>
      </c>
      <c r="BF1" s="2" t="s">
        <v>547</v>
      </c>
      <c r="BG1" s="2" t="s">
        <v>548</v>
      </c>
      <c r="BH1" s="2" t="s">
        <v>549</v>
      </c>
      <c r="BI1" s="2" t="s">
        <v>1112</v>
      </c>
      <c r="BJ1" s="2" t="s">
        <v>550</v>
      </c>
      <c r="BK1" s="2" t="s">
        <v>551</v>
      </c>
      <c r="BL1" s="2" t="s">
        <v>552</v>
      </c>
      <c r="BM1" s="2" t="s">
        <v>553</v>
      </c>
      <c r="BN1" s="2" t="s">
        <v>554</v>
      </c>
      <c r="BO1" s="2" t="s">
        <v>555</v>
      </c>
      <c r="BP1" s="2" t="s">
        <v>556</v>
      </c>
      <c r="BQ1" s="2" t="s">
        <v>1113</v>
      </c>
      <c r="BR1" s="2" t="s">
        <v>557</v>
      </c>
      <c r="BS1" s="2" t="s">
        <v>558</v>
      </c>
      <c r="BT1" s="2" t="s">
        <v>559</v>
      </c>
      <c r="BU1" s="2" t="s">
        <v>560</v>
      </c>
      <c r="BV1" s="2" t="s">
        <v>561</v>
      </c>
      <c r="BW1" s="2" t="s">
        <v>562</v>
      </c>
      <c r="BX1" s="2" t="s">
        <v>563</v>
      </c>
      <c r="BY1" s="2" t="s">
        <v>1114</v>
      </c>
      <c r="BZ1" s="2" t="s">
        <v>564</v>
      </c>
      <c r="CA1" s="2" t="s">
        <v>565</v>
      </c>
      <c r="CB1" s="2" t="s">
        <v>566</v>
      </c>
      <c r="CC1" s="2" t="s">
        <v>567</v>
      </c>
      <c r="CD1" s="2" t="s">
        <v>568</v>
      </c>
      <c r="CE1" s="2" t="s">
        <v>569</v>
      </c>
      <c r="CF1" s="2" t="s">
        <v>570</v>
      </c>
      <c r="CG1" s="2" t="s">
        <v>1115</v>
      </c>
      <c r="CH1" s="2" t="s">
        <v>571</v>
      </c>
      <c r="CI1" s="2" t="s">
        <v>572</v>
      </c>
      <c r="CJ1" s="2" t="s">
        <v>573</v>
      </c>
      <c r="CK1" s="2" t="s">
        <v>574</v>
      </c>
      <c r="CL1" s="2" t="s">
        <v>575</v>
      </c>
      <c r="CM1" s="2" t="s">
        <v>576</v>
      </c>
      <c r="CN1" s="2" t="s">
        <v>233</v>
      </c>
      <c r="CO1" s="2" t="s">
        <v>234</v>
      </c>
      <c r="CP1" s="2" t="s">
        <v>235</v>
      </c>
      <c r="CQ1" s="2" t="s">
        <v>236</v>
      </c>
      <c r="CR1" s="2" t="s">
        <v>721</v>
      </c>
    </row>
    <row r="2" spans="1:96" ht="14.4" customHeight="1" x14ac:dyDescent="0.3">
      <c r="A2" s="2" t="s">
        <v>27</v>
      </c>
      <c r="B2" s="2" t="s">
        <v>28</v>
      </c>
      <c r="C2" s="2" t="s">
        <v>29</v>
      </c>
      <c r="D2" s="2" t="s">
        <v>30</v>
      </c>
      <c r="E2" s="2" t="s">
        <v>4</v>
      </c>
      <c r="F2" s="2" t="s">
        <v>5</v>
      </c>
      <c r="G2" s="2" t="s">
        <v>6</v>
      </c>
      <c r="H2" s="2" t="s">
        <v>31</v>
      </c>
      <c r="I2" s="2" t="s">
        <v>32</v>
      </c>
      <c r="J2" s="2" t="s">
        <v>33</v>
      </c>
      <c r="K2" s="2" t="s">
        <v>34</v>
      </c>
      <c r="L2" s="2" t="s">
        <v>35</v>
      </c>
      <c r="M2" s="2" t="s">
        <v>36</v>
      </c>
      <c r="N2" s="2" t="s">
        <v>37</v>
      </c>
      <c r="O2" s="2" t="s">
        <v>38</v>
      </c>
      <c r="P2" s="2" t="s">
        <v>39</v>
      </c>
      <c r="Q2" s="2" t="s">
        <v>40</v>
      </c>
      <c r="R2" s="2" t="s">
        <v>17</v>
      </c>
      <c r="S2" s="2" t="s">
        <v>41</v>
      </c>
      <c r="T2" s="2" t="s">
        <v>42</v>
      </c>
      <c r="U2" s="2" t="s">
        <v>43</v>
      </c>
      <c r="V2" s="2" t="s">
        <v>44</v>
      </c>
      <c r="W2" s="2" t="s">
        <v>45</v>
      </c>
      <c r="X2" s="2" t="s">
        <v>46</v>
      </c>
      <c r="Y2" s="2" t="s">
        <v>47</v>
      </c>
      <c r="Z2" s="2" t="s">
        <v>48</v>
      </c>
      <c r="AA2" s="2" t="s">
        <v>49</v>
      </c>
      <c r="AB2" s="2" t="s">
        <v>361</v>
      </c>
      <c r="AC2" s="2"/>
      <c r="AD2" s="2" t="s">
        <v>362</v>
      </c>
      <c r="AE2" s="2" t="s">
        <v>363</v>
      </c>
      <c r="AF2" s="2" t="s">
        <v>364</v>
      </c>
      <c r="AG2" s="2" t="s">
        <v>365</v>
      </c>
      <c r="AH2" s="2" t="s">
        <v>366</v>
      </c>
      <c r="AI2" s="2" t="s">
        <v>367</v>
      </c>
      <c r="AJ2" s="3" t="s">
        <v>577</v>
      </c>
      <c r="AK2" s="3"/>
      <c r="AL2" s="2" t="s">
        <v>362</v>
      </c>
      <c r="AM2" s="2" t="s">
        <v>363</v>
      </c>
      <c r="AN2" s="2" t="s">
        <v>364</v>
      </c>
      <c r="AO2" s="2" t="s">
        <v>365</v>
      </c>
      <c r="AP2" s="2" t="s">
        <v>366</v>
      </c>
      <c r="AQ2" s="2" t="s">
        <v>367</v>
      </c>
      <c r="AR2" s="2" t="s">
        <v>578</v>
      </c>
      <c r="AS2" s="2"/>
      <c r="AT2" s="2" t="s">
        <v>362</v>
      </c>
      <c r="AU2" s="2" t="s">
        <v>363</v>
      </c>
      <c r="AV2" s="2" t="s">
        <v>364</v>
      </c>
      <c r="AW2" s="2" t="s">
        <v>365</v>
      </c>
      <c r="AX2" s="2" t="s">
        <v>366</v>
      </c>
      <c r="AY2" s="2" t="s">
        <v>367</v>
      </c>
      <c r="AZ2" s="2" t="s">
        <v>370</v>
      </c>
      <c r="BA2" s="2"/>
      <c r="BB2" s="2" t="s">
        <v>362</v>
      </c>
      <c r="BC2" s="2" t="s">
        <v>363</v>
      </c>
      <c r="BD2" s="2" t="s">
        <v>364</v>
      </c>
      <c r="BE2" s="2" t="s">
        <v>365</v>
      </c>
      <c r="BF2" s="2" t="s">
        <v>366</v>
      </c>
      <c r="BG2" s="2" t="s">
        <v>367</v>
      </c>
      <c r="BH2" s="3" t="s">
        <v>579</v>
      </c>
      <c r="BI2" s="3"/>
      <c r="BJ2" s="2" t="s">
        <v>362</v>
      </c>
      <c r="BK2" s="2" t="s">
        <v>363</v>
      </c>
      <c r="BL2" s="2" t="s">
        <v>364</v>
      </c>
      <c r="BM2" s="2" t="s">
        <v>365</v>
      </c>
      <c r="BN2" s="2" t="s">
        <v>366</v>
      </c>
      <c r="BO2" s="2" t="s">
        <v>367</v>
      </c>
      <c r="BP2" s="3" t="s">
        <v>580</v>
      </c>
      <c r="BQ2" s="3"/>
      <c r="BR2" s="2" t="s">
        <v>362</v>
      </c>
      <c r="BS2" s="2" t="s">
        <v>363</v>
      </c>
      <c r="BT2" s="2" t="s">
        <v>364</v>
      </c>
      <c r="BU2" s="2" t="s">
        <v>365</v>
      </c>
      <c r="BV2" s="2" t="s">
        <v>366</v>
      </c>
      <c r="BW2" s="2" t="s">
        <v>367</v>
      </c>
      <c r="BX2" s="2" t="s">
        <v>581</v>
      </c>
      <c r="BY2" s="2"/>
      <c r="BZ2" s="2" t="s">
        <v>362</v>
      </c>
      <c r="CA2" s="2" t="s">
        <v>363</v>
      </c>
      <c r="CB2" s="2" t="s">
        <v>364</v>
      </c>
      <c r="CC2" s="2" t="s">
        <v>365</v>
      </c>
      <c r="CD2" s="2" t="s">
        <v>366</v>
      </c>
      <c r="CE2" s="2" t="s">
        <v>367</v>
      </c>
      <c r="CF2" s="3" t="s">
        <v>582</v>
      </c>
      <c r="CG2" s="3"/>
      <c r="CH2" s="2" t="s">
        <v>362</v>
      </c>
      <c r="CI2" s="2" t="s">
        <v>363</v>
      </c>
      <c r="CJ2" s="2" t="s">
        <v>364</v>
      </c>
      <c r="CK2" s="2" t="s">
        <v>365</v>
      </c>
      <c r="CL2" s="2" t="s">
        <v>366</v>
      </c>
      <c r="CM2" s="2" t="s">
        <v>367</v>
      </c>
      <c r="CN2" s="2" t="s">
        <v>237</v>
      </c>
      <c r="CO2" s="2" t="s">
        <v>237</v>
      </c>
      <c r="CP2" s="2" t="s">
        <v>238</v>
      </c>
      <c r="CQ2" s="2" t="s">
        <v>237</v>
      </c>
      <c r="CR2" s="2" t="s">
        <v>721</v>
      </c>
    </row>
    <row r="3" spans="1:96" ht="15.6" x14ac:dyDescent="0.3">
      <c r="A3" s="2" t="s">
        <v>50</v>
      </c>
      <c r="B3" s="2" t="s">
        <v>51</v>
      </c>
      <c r="C3" s="2" t="s">
        <v>52</v>
      </c>
      <c r="D3" s="2" t="s">
        <v>53</v>
      </c>
      <c r="E3" s="2" t="s">
        <v>54</v>
      </c>
      <c r="F3" s="2" t="s">
        <v>55</v>
      </c>
      <c r="G3" s="2" t="s">
        <v>56</v>
      </c>
      <c r="H3" s="2" t="s">
        <v>57</v>
      </c>
      <c r="I3" s="2" t="s">
        <v>58</v>
      </c>
      <c r="J3" s="2" t="s">
        <v>59</v>
      </c>
      <c r="K3" s="2" t="s">
        <v>60</v>
      </c>
      <c r="L3" s="2" t="s">
        <v>61</v>
      </c>
      <c r="M3" s="2" t="s">
        <v>62</v>
      </c>
      <c r="N3" s="2" t="s">
        <v>63</v>
      </c>
      <c r="O3" s="2" t="s">
        <v>64</v>
      </c>
      <c r="P3" s="2" t="s">
        <v>65</v>
      </c>
      <c r="Q3" s="2" t="s">
        <v>66</v>
      </c>
      <c r="R3" s="2" t="s">
        <v>67</v>
      </c>
      <c r="S3" s="2" t="s">
        <v>68</v>
      </c>
      <c r="T3" s="2" t="s">
        <v>69</v>
      </c>
      <c r="U3" s="2" t="s">
        <v>70</v>
      </c>
      <c r="V3" s="2" t="s">
        <v>71</v>
      </c>
      <c r="W3" s="2" t="s">
        <v>72</v>
      </c>
      <c r="X3" s="2" t="s">
        <v>73</v>
      </c>
      <c r="Y3" s="2" t="s">
        <v>74</v>
      </c>
      <c r="Z3" s="2" t="s">
        <v>75</v>
      </c>
      <c r="AA3" s="2" t="s">
        <v>76</v>
      </c>
      <c r="AB3" s="2" t="s">
        <v>583</v>
      </c>
      <c r="AC3" s="2"/>
      <c r="AD3" s="2" t="s">
        <v>584</v>
      </c>
      <c r="AE3" s="2" t="s">
        <v>585</v>
      </c>
      <c r="AF3" s="2" t="s">
        <v>586</v>
      </c>
      <c r="AG3" s="2" t="s">
        <v>587</v>
      </c>
      <c r="AH3" s="2" t="s">
        <v>588</v>
      </c>
      <c r="AI3" s="2" t="s">
        <v>589</v>
      </c>
      <c r="AJ3" s="2" t="s">
        <v>590</v>
      </c>
      <c r="AK3" s="2"/>
      <c r="AL3" s="2" t="s">
        <v>591</v>
      </c>
      <c r="AM3" s="2" t="s">
        <v>592</v>
      </c>
      <c r="AN3" s="2" t="s">
        <v>593</v>
      </c>
      <c r="AO3" s="2" t="s">
        <v>594</v>
      </c>
      <c r="AP3" s="2" t="s">
        <v>595</v>
      </c>
      <c r="AQ3" s="2" t="s">
        <v>596</v>
      </c>
      <c r="AR3" s="2" t="s">
        <v>597</v>
      </c>
      <c r="AS3" s="2"/>
      <c r="AT3" s="2" t="s">
        <v>598</v>
      </c>
      <c r="AU3" s="2" t="s">
        <v>599</v>
      </c>
      <c r="AV3" s="2" t="s">
        <v>600</v>
      </c>
      <c r="AW3" s="2" t="s">
        <v>601</v>
      </c>
      <c r="AX3" s="2" t="s">
        <v>602</v>
      </c>
      <c r="AY3" s="2" t="s">
        <v>603</v>
      </c>
      <c r="AZ3" s="2" t="s">
        <v>604</v>
      </c>
      <c r="BA3" s="2"/>
      <c r="BB3" s="2" t="s">
        <v>605</v>
      </c>
      <c r="BC3" s="2" t="s">
        <v>606</v>
      </c>
      <c r="BD3" s="2" t="s">
        <v>607</v>
      </c>
      <c r="BE3" s="2" t="s">
        <v>608</v>
      </c>
      <c r="BF3" s="2" t="s">
        <v>609</v>
      </c>
      <c r="BG3" s="2" t="s">
        <v>610</v>
      </c>
      <c r="BH3" s="2" t="s">
        <v>611</v>
      </c>
      <c r="BI3" s="2"/>
      <c r="BJ3" s="2" t="s">
        <v>612</v>
      </c>
      <c r="BK3" s="2" t="s">
        <v>613</v>
      </c>
      <c r="BL3" s="2" t="s">
        <v>614</v>
      </c>
      <c r="BM3" s="2" t="s">
        <v>615</v>
      </c>
      <c r="BN3" s="2" t="s">
        <v>616</v>
      </c>
      <c r="BO3" s="2" t="s">
        <v>617</v>
      </c>
      <c r="BP3" s="2" t="s">
        <v>618</v>
      </c>
      <c r="BQ3" s="2"/>
      <c r="BR3" s="2" t="s">
        <v>619</v>
      </c>
      <c r="BS3" s="2" t="s">
        <v>620</v>
      </c>
      <c r="BT3" s="2" t="s">
        <v>621</v>
      </c>
      <c r="BU3" s="2" t="s">
        <v>622</v>
      </c>
      <c r="BV3" s="2" t="s">
        <v>623</v>
      </c>
      <c r="BW3" s="2" t="s">
        <v>624</v>
      </c>
      <c r="BX3" s="2" t="s">
        <v>625</v>
      </c>
      <c r="BY3" s="2"/>
      <c r="BZ3" s="2" t="s">
        <v>626</v>
      </c>
      <c r="CA3" s="2" t="s">
        <v>627</v>
      </c>
      <c r="CB3" s="2" t="s">
        <v>628</v>
      </c>
      <c r="CC3" s="2" t="s">
        <v>629</v>
      </c>
      <c r="CD3" s="2" t="s">
        <v>630</v>
      </c>
      <c r="CE3" s="2" t="s">
        <v>631</v>
      </c>
      <c r="CF3" s="2" t="s">
        <v>632</v>
      </c>
      <c r="CG3" s="2"/>
      <c r="CH3" s="2" t="s">
        <v>633</v>
      </c>
      <c r="CI3" s="2" t="s">
        <v>634</v>
      </c>
      <c r="CJ3" s="2" t="s">
        <v>635</v>
      </c>
      <c r="CK3" s="2" t="s">
        <v>636</v>
      </c>
      <c r="CL3" s="2" t="s">
        <v>637</v>
      </c>
      <c r="CM3" s="2" t="s">
        <v>638</v>
      </c>
      <c r="CN3" s="2" t="s">
        <v>239</v>
      </c>
      <c r="CO3" s="2" t="s">
        <v>240</v>
      </c>
      <c r="CP3" s="2" t="s">
        <v>241</v>
      </c>
      <c r="CQ3" s="2" t="s">
        <v>242</v>
      </c>
      <c r="CR3" s="2" t="s">
        <v>722</v>
      </c>
    </row>
    <row r="4" spans="1:96" x14ac:dyDescent="0.3">
      <c r="A4" s="4">
        <v>45600.470578703702</v>
      </c>
      <c r="B4" s="4">
        <v>45600.48841435185</v>
      </c>
      <c r="C4" s="5" t="s">
        <v>30</v>
      </c>
      <c r="D4" s="5" t="s">
        <v>77</v>
      </c>
      <c r="E4" s="5">
        <v>100</v>
      </c>
      <c r="F4" s="5">
        <v>1541</v>
      </c>
      <c r="G4" s="5" t="b">
        <v>1</v>
      </c>
      <c r="H4" s="4">
        <v>45600.488425925927</v>
      </c>
      <c r="I4" s="5" t="s">
        <v>78</v>
      </c>
      <c r="J4" s="5"/>
      <c r="K4" s="5"/>
      <c r="L4" s="5"/>
      <c r="M4" s="5"/>
      <c r="N4" s="5">
        <v>40.712299999999999</v>
      </c>
      <c r="O4" s="5">
        <v>-74.006799999999998</v>
      </c>
      <c r="P4" s="5" t="s">
        <v>79</v>
      </c>
      <c r="Q4" s="5" t="s">
        <v>80</v>
      </c>
      <c r="R4" s="5">
        <v>1</v>
      </c>
      <c r="S4" s="5" t="s">
        <v>81</v>
      </c>
      <c r="T4" s="5" t="s">
        <v>82</v>
      </c>
      <c r="U4" s="5" t="s">
        <v>83</v>
      </c>
      <c r="V4" s="5" t="s">
        <v>84</v>
      </c>
      <c r="W4" s="5" t="s">
        <v>85</v>
      </c>
      <c r="X4" s="5" t="s">
        <v>86</v>
      </c>
      <c r="Y4" s="5"/>
      <c r="Z4" s="5" t="s">
        <v>87</v>
      </c>
      <c r="AA4" s="5" t="s">
        <v>88</v>
      </c>
      <c r="AB4" s="5" t="s">
        <v>431</v>
      </c>
      <c r="AC4" s="5" t="s">
        <v>431</v>
      </c>
      <c r="AD4" s="5">
        <v>16.45</v>
      </c>
      <c r="AE4" s="5">
        <v>16.45</v>
      </c>
      <c r="AF4" s="5">
        <v>17.516999999999999</v>
      </c>
      <c r="AG4" s="5">
        <v>1</v>
      </c>
      <c r="AH4" s="5">
        <v>90</v>
      </c>
      <c r="AI4" s="5" t="s">
        <v>639</v>
      </c>
      <c r="AJ4" s="5" t="s">
        <v>434</v>
      </c>
      <c r="AK4" s="5" t="s">
        <v>431</v>
      </c>
      <c r="AL4" s="5">
        <v>47.354999999999997</v>
      </c>
      <c r="AM4" s="5">
        <v>47.354999999999997</v>
      </c>
      <c r="AN4" s="5">
        <v>52.637999999999998</v>
      </c>
      <c r="AO4" s="5">
        <v>1</v>
      </c>
      <c r="AP4" s="5">
        <v>90</v>
      </c>
      <c r="AQ4" s="5" t="s">
        <v>640</v>
      </c>
      <c r="AR4" s="5" t="s">
        <v>431</v>
      </c>
      <c r="AS4" s="5" t="s">
        <v>434</v>
      </c>
      <c r="AT4" s="5">
        <v>26.678999999999998</v>
      </c>
      <c r="AU4" s="5">
        <v>26.678999999999998</v>
      </c>
      <c r="AV4" s="5">
        <v>27.635000000000002</v>
      </c>
      <c r="AW4" s="5">
        <v>1</v>
      </c>
      <c r="AX4" s="5">
        <v>80</v>
      </c>
      <c r="AY4" s="5" t="s">
        <v>641</v>
      </c>
      <c r="AZ4" s="5" t="s">
        <v>434</v>
      </c>
      <c r="BA4" s="5" t="s">
        <v>434</v>
      </c>
      <c r="BB4" s="5">
        <v>61.56</v>
      </c>
      <c r="BC4" s="5">
        <v>61.56</v>
      </c>
      <c r="BD4" s="5">
        <v>62.93</v>
      </c>
      <c r="BE4" s="5">
        <v>1</v>
      </c>
      <c r="BF4" s="5">
        <v>90</v>
      </c>
      <c r="BG4" s="5" t="s">
        <v>642</v>
      </c>
      <c r="BH4" s="5" t="s">
        <v>434</v>
      </c>
      <c r="BI4" s="5" t="s">
        <v>431</v>
      </c>
      <c r="BJ4" s="5">
        <v>19.087</v>
      </c>
      <c r="BK4" s="5">
        <v>114.602</v>
      </c>
      <c r="BL4" s="5">
        <v>115.63</v>
      </c>
      <c r="BM4" s="5">
        <v>3</v>
      </c>
      <c r="BN4" s="5">
        <v>90</v>
      </c>
      <c r="BO4" s="5" t="s">
        <v>643</v>
      </c>
      <c r="BP4" s="5" t="s">
        <v>431</v>
      </c>
      <c r="BQ4" s="5" t="s">
        <v>431</v>
      </c>
      <c r="BR4" s="5">
        <v>18.760000000000002</v>
      </c>
      <c r="BS4" s="5">
        <v>106.672</v>
      </c>
      <c r="BT4" s="5">
        <v>108.758</v>
      </c>
      <c r="BU4" s="5">
        <v>5</v>
      </c>
      <c r="BV4" s="5">
        <v>85</v>
      </c>
      <c r="BW4" s="5" t="s">
        <v>644</v>
      </c>
      <c r="BX4" s="5" t="s">
        <v>431</v>
      </c>
      <c r="BY4" s="5" t="s">
        <v>434</v>
      </c>
      <c r="BZ4" s="5">
        <v>32.445999999999998</v>
      </c>
      <c r="CA4" s="5">
        <v>32.445999999999998</v>
      </c>
      <c r="CB4" s="5">
        <v>87.34</v>
      </c>
      <c r="CC4" s="5">
        <v>1</v>
      </c>
      <c r="CD4" s="5">
        <v>90</v>
      </c>
      <c r="CE4" s="5" t="s">
        <v>645</v>
      </c>
      <c r="CF4" s="5" t="s">
        <v>434</v>
      </c>
      <c r="CG4" s="5" t="s">
        <v>434</v>
      </c>
      <c r="CH4" s="5">
        <v>8.6310000000000002</v>
      </c>
      <c r="CI4" s="5">
        <v>73.685000000000002</v>
      </c>
      <c r="CJ4" s="5">
        <v>75.048000000000002</v>
      </c>
      <c r="CK4" s="5">
        <v>5</v>
      </c>
      <c r="CL4" s="5">
        <v>90</v>
      </c>
      <c r="CM4" s="5" t="s">
        <v>646</v>
      </c>
      <c r="CN4" s="5" t="s">
        <v>243</v>
      </c>
      <c r="CO4" s="5" t="s">
        <v>244</v>
      </c>
      <c r="CP4" s="5" t="s">
        <v>245</v>
      </c>
      <c r="CQ4" s="5" t="s">
        <v>246</v>
      </c>
      <c r="CR4" s="5"/>
    </row>
    <row r="5" spans="1:96" x14ac:dyDescent="0.3">
      <c r="A5" s="4">
        <v>45607.409201388888</v>
      </c>
      <c r="B5" s="4">
        <v>45607.445034722223</v>
      </c>
      <c r="C5" s="5" t="s">
        <v>30</v>
      </c>
      <c r="D5" s="5" t="s">
        <v>104</v>
      </c>
      <c r="E5" s="5">
        <v>100</v>
      </c>
      <c r="F5" s="5">
        <v>3095</v>
      </c>
      <c r="G5" s="5" t="b">
        <v>1</v>
      </c>
      <c r="H5" s="4">
        <v>45607.4450462963</v>
      </c>
      <c r="I5" s="5" t="s">
        <v>105</v>
      </c>
      <c r="J5" s="5"/>
      <c r="K5" s="5"/>
      <c r="L5" s="5"/>
      <c r="M5" s="5"/>
      <c r="N5" s="5">
        <v>42.325299999999999</v>
      </c>
      <c r="O5" s="5">
        <v>-71.095100000000002</v>
      </c>
      <c r="P5" s="5" t="s">
        <v>79</v>
      </c>
      <c r="Q5" s="5" t="s">
        <v>80</v>
      </c>
      <c r="R5" s="5">
        <v>1</v>
      </c>
      <c r="S5" s="5" t="s">
        <v>106</v>
      </c>
      <c r="T5" s="5" t="s">
        <v>107</v>
      </c>
      <c r="U5" s="5" t="s">
        <v>108</v>
      </c>
      <c r="V5" s="5" t="s">
        <v>109</v>
      </c>
      <c r="W5" s="5" t="s">
        <v>98</v>
      </c>
      <c r="X5" s="5" t="s">
        <v>86</v>
      </c>
      <c r="Y5" s="5"/>
      <c r="Z5" s="5" t="s">
        <v>99</v>
      </c>
      <c r="AA5" s="5" t="s">
        <v>100</v>
      </c>
      <c r="AB5" s="5" t="s">
        <v>434</v>
      </c>
      <c r="AC5" s="5" t="s">
        <v>431</v>
      </c>
      <c r="AD5" s="5">
        <v>12.929</v>
      </c>
      <c r="AE5" s="5">
        <v>41.317999999999998</v>
      </c>
      <c r="AF5" s="5">
        <v>42.052</v>
      </c>
      <c r="AG5" s="5">
        <v>9</v>
      </c>
      <c r="AH5" s="5">
        <v>70</v>
      </c>
      <c r="AI5" s="5" t="s">
        <v>647</v>
      </c>
      <c r="AJ5" s="5" t="s">
        <v>431</v>
      </c>
      <c r="AK5" s="5" t="s">
        <v>431</v>
      </c>
      <c r="AL5" s="5">
        <v>1.1120000000000001</v>
      </c>
      <c r="AM5" s="5">
        <v>11.076000000000001</v>
      </c>
      <c r="AN5" s="5">
        <v>11.201000000000001</v>
      </c>
      <c r="AO5" s="5">
        <v>8</v>
      </c>
      <c r="AP5" s="5">
        <v>96</v>
      </c>
      <c r="AQ5" s="5" t="s">
        <v>648</v>
      </c>
      <c r="AR5" s="5" t="s">
        <v>434</v>
      </c>
      <c r="AS5" s="5" t="s">
        <v>434</v>
      </c>
      <c r="AT5" s="5">
        <v>5.2530000000000001</v>
      </c>
      <c r="AU5" s="5">
        <v>20.779</v>
      </c>
      <c r="AV5" s="5">
        <v>21.102</v>
      </c>
      <c r="AW5" s="5">
        <v>5</v>
      </c>
      <c r="AX5" s="5">
        <v>81</v>
      </c>
      <c r="AY5" s="5" t="s">
        <v>649</v>
      </c>
      <c r="AZ5" s="5" t="s">
        <v>434</v>
      </c>
      <c r="BA5" s="5" t="s">
        <v>434</v>
      </c>
      <c r="BB5" s="5">
        <v>1.004</v>
      </c>
      <c r="BC5" s="5">
        <v>12.526999999999999</v>
      </c>
      <c r="BD5" s="5">
        <v>13.074</v>
      </c>
      <c r="BE5" s="5">
        <v>5</v>
      </c>
      <c r="BF5" s="5">
        <v>70</v>
      </c>
      <c r="BG5" s="5" t="s">
        <v>649</v>
      </c>
      <c r="BH5" s="5" t="s">
        <v>431</v>
      </c>
      <c r="BI5" s="5" t="s">
        <v>431</v>
      </c>
      <c r="BJ5" s="5">
        <v>0.54500000000000004</v>
      </c>
      <c r="BK5" s="5">
        <v>22.71</v>
      </c>
      <c r="BL5" s="5">
        <v>23.391999999999999</v>
      </c>
      <c r="BM5" s="5">
        <v>3</v>
      </c>
      <c r="BN5" s="5">
        <v>79</v>
      </c>
      <c r="BO5" s="5"/>
      <c r="BP5" s="5" t="s">
        <v>434</v>
      </c>
      <c r="BQ5" s="5" t="s">
        <v>431</v>
      </c>
      <c r="BR5" s="5">
        <v>1.0469999999999999</v>
      </c>
      <c r="BS5" s="5">
        <v>211.40100000000001</v>
      </c>
      <c r="BT5" s="5">
        <v>216.273</v>
      </c>
      <c r="BU5" s="5">
        <v>16</v>
      </c>
      <c r="BV5" s="5">
        <v>77</v>
      </c>
      <c r="BW5" s="5"/>
      <c r="BX5" s="5" t="s">
        <v>434</v>
      </c>
      <c r="BY5" s="5" t="s">
        <v>434</v>
      </c>
      <c r="BZ5" s="5">
        <v>0.70899999999999996</v>
      </c>
      <c r="CA5" s="5">
        <v>60.66</v>
      </c>
      <c r="CB5" s="5">
        <v>62.820999999999998</v>
      </c>
      <c r="CC5" s="5">
        <v>5</v>
      </c>
      <c r="CD5" s="5">
        <v>80</v>
      </c>
      <c r="CE5" s="5"/>
      <c r="CF5" s="5" t="s">
        <v>434</v>
      </c>
      <c r="CG5" s="5" t="s">
        <v>434</v>
      </c>
      <c r="CH5" s="5">
        <v>0.63400000000000001</v>
      </c>
      <c r="CI5" s="5">
        <v>70.120999999999995</v>
      </c>
      <c r="CJ5" s="5">
        <v>70.468999999999994</v>
      </c>
      <c r="CK5" s="5">
        <v>6</v>
      </c>
      <c r="CL5" s="5">
        <v>70</v>
      </c>
      <c r="CM5" s="5"/>
      <c r="CN5" s="5" t="s">
        <v>247</v>
      </c>
      <c r="CO5" s="5" t="s">
        <v>244</v>
      </c>
      <c r="CP5" s="5" t="s">
        <v>255</v>
      </c>
      <c r="CQ5" s="5" t="s">
        <v>245</v>
      </c>
      <c r="CR5" s="5"/>
    </row>
    <row r="6" spans="1:96" x14ac:dyDescent="0.3">
      <c r="A6" s="4">
        <v>45607.477337962962</v>
      </c>
      <c r="B6" s="4">
        <v>45607.486724537041</v>
      </c>
      <c r="C6" s="5" t="s">
        <v>30</v>
      </c>
      <c r="D6" s="5" t="s">
        <v>121</v>
      </c>
      <c r="E6" s="5">
        <v>100</v>
      </c>
      <c r="F6" s="5">
        <v>810</v>
      </c>
      <c r="G6" s="5" t="b">
        <v>1</v>
      </c>
      <c r="H6" s="4">
        <v>45607.48673611111</v>
      </c>
      <c r="I6" s="5" t="s">
        <v>122</v>
      </c>
      <c r="J6" s="5"/>
      <c r="K6" s="5"/>
      <c r="L6" s="5"/>
      <c r="M6" s="5"/>
      <c r="N6" s="5">
        <v>42.650799999999997</v>
      </c>
      <c r="O6" s="5">
        <v>-71.160700000000006</v>
      </c>
      <c r="P6" s="5" t="s">
        <v>79</v>
      </c>
      <c r="Q6" s="5" t="s">
        <v>80</v>
      </c>
      <c r="R6" s="5">
        <v>1</v>
      </c>
      <c r="S6" s="5" t="s">
        <v>116</v>
      </c>
      <c r="T6" s="5" t="s">
        <v>82</v>
      </c>
      <c r="U6" s="5" t="s">
        <v>93</v>
      </c>
      <c r="V6" s="5" t="s">
        <v>123</v>
      </c>
      <c r="W6" s="5" t="s">
        <v>98</v>
      </c>
      <c r="X6" s="5" t="s">
        <v>86</v>
      </c>
      <c r="Y6" s="5"/>
      <c r="Z6" s="5" t="s">
        <v>87</v>
      </c>
      <c r="AA6" s="5" t="s">
        <v>113</v>
      </c>
      <c r="AB6" s="5" t="s">
        <v>431</v>
      </c>
      <c r="AC6" s="5" t="s">
        <v>431</v>
      </c>
      <c r="AD6" s="5">
        <v>2.258</v>
      </c>
      <c r="AE6" s="5">
        <v>20.93</v>
      </c>
      <c r="AF6" s="5">
        <v>23.074999999999999</v>
      </c>
      <c r="AG6" s="5">
        <v>5</v>
      </c>
      <c r="AH6" s="5">
        <v>40</v>
      </c>
      <c r="AI6" s="5" t="s">
        <v>650</v>
      </c>
      <c r="AJ6" s="5" t="s">
        <v>431</v>
      </c>
      <c r="AK6" s="5" t="s">
        <v>431</v>
      </c>
      <c r="AL6" s="5">
        <v>19.696999999999999</v>
      </c>
      <c r="AM6" s="5">
        <v>28.129000000000001</v>
      </c>
      <c r="AN6" s="5">
        <v>47.570999999999998</v>
      </c>
      <c r="AO6" s="5">
        <v>7</v>
      </c>
      <c r="AP6" s="5">
        <v>73</v>
      </c>
      <c r="AQ6" s="5" t="s">
        <v>651</v>
      </c>
      <c r="AR6" s="5" t="s">
        <v>431</v>
      </c>
      <c r="AS6" s="5" t="s">
        <v>434</v>
      </c>
      <c r="AT6" s="5">
        <v>4.7510000000000003</v>
      </c>
      <c r="AU6" s="5">
        <v>32.161000000000001</v>
      </c>
      <c r="AV6" s="5">
        <v>33.674999999999997</v>
      </c>
      <c r="AW6" s="5">
        <v>13</v>
      </c>
      <c r="AX6" s="5">
        <v>77</v>
      </c>
      <c r="AY6" s="5" t="s">
        <v>652</v>
      </c>
      <c r="AZ6" s="5" t="s">
        <v>434</v>
      </c>
      <c r="BA6" s="5" t="s">
        <v>434</v>
      </c>
      <c r="BB6" s="5">
        <v>2.5409999999999999</v>
      </c>
      <c r="BC6" s="5">
        <v>15.252000000000001</v>
      </c>
      <c r="BD6" s="5">
        <v>17.995000000000001</v>
      </c>
      <c r="BE6" s="5">
        <v>3</v>
      </c>
      <c r="BF6" s="5">
        <v>100</v>
      </c>
      <c r="BG6" s="5" t="s">
        <v>653</v>
      </c>
      <c r="BH6" s="5" t="s">
        <v>431</v>
      </c>
      <c r="BI6" s="5" t="s">
        <v>431</v>
      </c>
      <c r="BJ6" s="5">
        <v>4.3170000000000002</v>
      </c>
      <c r="BK6" s="5">
        <v>29.934999999999999</v>
      </c>
      <c r="BL6" s="5">
        <v>40.860999999999997</v>
      </c>
      <c r="BM6" s="5">
        <v>19</v>
      </c>
      <c r="BN6" s="5">
        <v>85</v>
      </c>
      <c r="BO6" s="5" t="s">
        <v>654</v>
      </c>
      <c r="BP6" s="5" t="s">
        <v>431</v>
      </c>
      <c r="BQ6" s="5" t="s">
        <v>431</v>
      </c>
      <c r="BR6" s="5">
        <v>29.995000000000001</v>
      </c>
      <c r="BS6" s="5">
        <v>29.995000000000001</v>
      </c>
      <c r="BT6" s="5">
        <v>43.838000000000001</v>
      </c>
      <c r="BU6" s="5">
        <v>1</v>
      </c>
      <c r="BV6" s="5">
        <v>19</v>
      </c>
      <c r="BW6" s="5" t="s">
        <v>655</v>
      </c>
      <c r="BX6" s="5" t="s">
        <v>431</v>
      </c>
      <c r="BY6" s="5" t="s">
        <v>434</v>
      </c>
      <c r="BZ6" s="5">
        <v>14.225</v>
      </c>
      <c r="CA6" s="5">
        <v>14.225</v>
      </c>
      <c r="CB6" s="5">
        <v>17.620999999999999</v>
      </c>
      <c r="CC6" s="5">
        <v>1</v>
      </c>
      <c r="CD6" s="5">
        <v>100</v>
      </c>
      <c r="CE6" s="5" t="s">
        <v>656</v>
      </c>
      <c r="CF6" s="5" t="s">
        <v>434</v>
      </c>
      <c r="CG6" s="5" t="s">
        <v>434</v>
      </c>
      <c r="CH6" s="5">
        <v>15.164999999999999</v>
      </c>
      <c r="CI6" s="5">
        <v>15.164999999999999</v>
      </c>
      <c r="CJ6" s="5">
        <v>30.367999999999999</v>
      </c>
      <c r="CK6" s="5">
        <v>1</v>
      </c>
      <c r="CL6" s="5">
        <v>80</v>
      </c>
      <c r="CM6" s="5" t="s">
        <v>657</v>
      </c>
      <c r="CN6" s="5" t="s">
        <v>259</v>
      </c>
      <c r="CO6" s="5" t="s">
        <v>244</v>
      </c>
      <c r="CP6" s="5" t="s">
        <v>260</v>
      </c>
      <c r="CQ6" s="5" t="s">
        <v>261</v>
      </c>
      <c r="CR6" s="5"/>
    </row>
    <row r="7" spans="1:96" x14ac:dyDescent="0.3">
      <c r="A7" s="4">
        <v>45607.570115740738</v>
      </c>
      <c r="B7" s="4">
        <v>45607.577777777777</v>
      </c>
      <c r="C7" s="5" t="s">
        <v>30</v>
      </c>
      <c r="D7" s="5" t="s">
        <v>132</v>
      </c>
      <c r="E7" s="5">
        <v>100</v>
      </c>
      <c r="F7" s="5">
        <v>661</v>
      </c>
      <c r="G7" s="5" t="b">
        <v>1</v>
      </c>
      <c r="H7" s="4">
        <v>45607.577777777777</v>
      </c>
      <c r="I7" s="5" t="s">
        <v>133</v>
      </c>
      <c r="J7" s="5"/>
      <c r="K7" s="5"/>
      <c r="L7" s="5"/>
      <c r="M7" s="5"/>
      <c r="N7" s="5">
        <v>42.247399999999999</v>
      </c>
      <c r="O7" s="5">
        <v>-71.806899999999999</v>
      </c>
      <c r="P7" s="5" t="s">
        <v>79</v>
      </c>
      <c r="Q7" s="5" t="s">
        <v>80</v>
      </c>
      <c r="R7" s="5">
        <v>1</v>
      </c>
      <c r="S7" s="5" t="s">
        <v>91</v>
      </c>
      <c r="T7" s="5" t="s">
        <v>107</v>
      </c>
      <c r="U7" s="5" t="s">
        <v>93</v>
      </c>
      <c r="V7" s="5" t="s">
        <v>134</v>
      </c>
      <c r="W7" s="5" t="s">
        <v>98</v>
      </c>
      <c r="X7" s="5" t="s">
        <v>86</v>
      </c>
      <c r="Y7" s="5"/>
      <c r="Z7" s="5" t="s">
        <v>99</v>
      </c>
      <c r="AA7" s="5" t="s">
        <v>135</v>
      </c>
      <c r="AB7" s="5" t="s">
        <v>434</v>
      </c>
      <c r="AC7" s="5" t="s">
        <v>431</v>
      </c>
      <c r="AD7" s="5">
        <v>27.616</v>
      </c>
      <c r="AE7" s="5">
        <v>27.616</v>
      </c>
      <c r="AF7" s="5">
        <v>28.818000000000001</v>
      </c>
      <c r="AG7" s="5">
        <v>1</v>
      </c>
      <c r="AH7" s="5">
        <v>61</v>
      </c>
      <c r="AI7" s="5" t="s">
        <v>658</v>
      </c>
      <c r="AJ7" s="5" t="s">
        <v>431</v>
      </c>
      <c r="AK7" s="5" t="s">
        <v>431</v>
      </c>
      <c r="AL7" s="5">
        <v>16.997</v>
      </c>
      <c r="AM7" s="5">
        <v>47.671999999999997</v>
      </c>
      <c r="AN7" s="5">
        <v>60.438000000000002</v>
      </c>
      <c r="AO7" s="5">
        <v>3</v>
      </c>
      <c r="AP7" s="5">
        <v>80</v>
      </c>
      <c r="AQ7" s="5" t="s">
        <v>659</v>
      </c>
      <c r="AR7" s="5" t="s">
        <v>434</v>
      </c>
      <c r="AS7" s="5" t="s">
        <v>434</v>
      </c>
      <c r="AT7" s="5">
        <v>4.3810000000000002</v>
      </c>
      <c r="AU7" s="5">
        <v>24.759</v>
      </c>
      <c r="AV7" s="5">
        <v>30.116</v>
      </c>
      <c r="AW7" s="5">
        <v>5</v>
      </c>
      <c r="AX7" s="5">
        <v>80</v>
      </c>
      <c r="AY7" s="5" t="s">
        <v>660</v>
      </c>
      <c r="AZ7" s="5" t="s">
        <v>434</v>
      </c>
      <c r="BA7" s="5" t="s">
        <v>434</v>
      </c>
      <c r="BB7" s="5">
        <v>16.893000000000001</v>
      </c>
      <c r="BC7" s="5">
        <v>16.893000000000001</v>
      </c>
      <c r="BD7" s="5">
        <v>36.073</v>
      </c>
      <c r="BE7" s="5">
        <v>1</v>
      </c>
      <c r="BF7" s="5">
        <v>90</v>
      </c>
      <c r="BG7" s="5" t="s">
        <v>661</v>
      </c>
      <c r="BH7" s="5" t="s">
        <v>431</v>
      </c>
      <c r="BI7" s="5" t="s">
        <v>431</v>
      </c>
      <c r="BJ7" s="5">
        <v>22.831</v>
      </c>
      <c r="BK7" s="5">
        <v>31.413</v>
      </c>
      <c r="BL7" s="5">
        <v>34.39</v>
      </c>
      <c r="BM7" s="5">
        <v>3</v>
      </c>
      <c r="BN7" s="5">
        <v>70</v>
      </c>
      <c r="BO7" s="5" t="s">
        <v>662</v>
      </c>
      <c r="BP7" s="5" t="s">
        <v>434</v>
      </c>
      <c r="BQ7" s="5" t="s">
        <v>431</v>
      </c>
      <c r="BR7" s="5">
        <v>24.704999999999998</v>
      </c>
      <c r="BS7" s="5">
        <v>34.475999999999999</v>
      </c>
      <c r="BT7" s="5">
        <v>42.433</v>
      </c>
      <c r="BU7" s="5">
        <v>4</v>
      </c>
      <c r="BV7" s="5">
        <v>100</v>
      </c>
      <c r="BW7" s="5" t="s">
        <v>663</v>
      </c>
      <c r="BX7" s="5" t="s">
        <v>434</v>
      </c>
      <c r="BY7" s="5" t="s">
        <v>434</v>
      </c>
      <c r="BZ7" s="5">
        <v>2.4049999999999998</v>
      </c>
      <c r="CA7" s="5">
        <v>6.82</v>
      </c>
      <c r="CB7" s="5">
        <v>25.277999999999999</v>
      </c>
      <c r="CC7" s="5">
        <v>5</v>
      </c>
      <c r="CD7" s="5">
        <v>80</v>
      </c>
      <c r="CE7" s="5" t="s">
        <v>664</v>
      </c>
      <c r="CF7" s="5" t="s">
        <v>431</v>
      </c>
      <c r="CG7" s="5" t="s">
        <v>434</v>
      </c>
      <c r="CH7" s="5">
        <v>4.8390000000000004</v>
      </c>
      <c r="CI7" s="5">
        <v>4.8390000000000004</v>
      </c>
      <c r="CJ7" s="5">
        <v>34.185000000000002</v>
      </c>
      <c r="CK7" s="5">
        <v>1</v>
      </c>
      <c r="CL7" s="5">
        <v>83</v>
      </c>
      <c r="CM7" s="5" t="s">
        <v>665</v>
      </c>
      <c r="CN7" s="5" t="s">
        <v>263</v>
      </c>
      <c r="CO7" s="5" t="s">
        <v>264</v>
      </c>
      <c r="CP7" s="5" t="s">
        <v>245</v>
      </c>
      <c r="CQ7" s="5" t="s">
        <v>265</v>
      </c>
      <c r="CR7" s="5"/>
    </row>
    <row r="8" spans="1:96" x14ac:dyDescent="0.3">
      <c r="A8" s="4">
        <v>45607.682175925926</v>
      </c>
      <c r="B8" s="4">
        <v>45607.699976851851</v>
      </c>
      <c r="C8" s="5" t="s">
        <v>30</v>
      </c>
      <c r="D8" s="5" t="s">
        <v>154</v>
      </c>
      <c r="E8" s="5">
        <v>100</v>
      </c>
      <c r="F8" s="5">
        <v>1537</v>
      </c>
      <c r="G8" s="5" t="b">
        <v>1</v>
      </c>
      <c r="H8" s="4">
        <v>45607.699976851851</v>
      </c>
      <c r="I8" s="5" t="s">
        <v>155</v>
      </c>
      <c r="J8" s="5"/>
      <c r="K8" s="5"/>
      <c r="L8" s="5"/>
      <c r="M8" s="5"/>
      <c r="N8" s="5">
        <v>42.2821</v>
      </c>
      <c r="O8" s="5">
        <v>-71.8262</v>
      </c>
      <c r="P8" s="5" t="s">
        <v>79</v>
      </c>
      <c r="Q8" s="5" t="s">
        <v>80</v>
      </c>
      <c r="R8" s="5">
        <v>1</v>
      </c>
      <c r="S8" s="5" t="s">
        <v>116</v>
      </c>
      <c r="T8" s="5" t="s">
        <v>82</v>
      </c>
      <c r="U8" s="5" t="s">
        <v>83</v>
      </c>
      <c r="V8" s="5" t="s">
        <v>84</v>
      </c>
      <c r="W8" s="5" t="s">
        <v>98</v>
      </c>
      <c r="X8" s="5" t="s">
        <v>86</v>
      </c>
      <c r="Y8" s="5"/>
      <c r="Z8" s="5" t="s">
        <v>140</v>
      </c>
      <c r="AA8" s="5" t="s">
        <v>88</v>
      </c>
      <c r="AB8" s="5" t="s">
        <v>434</v>
      </c>
      <c r="AC8" s="5" t="s">
        <v>431</v>
      </c>
      <c r="AD8" s="5">
        <v>52.875999999999998</v>
      </c>
      <c r="AE8" s="5">
        <v>52.875999999999998</v>
      </c>
      <c r="AF8" s="5">
        <v>54.353999999999999</v>
      </c>
      <c r="AG8" s="5">
        <v>1</v>
      </c>
      <c r="AH8" s="5">
        <v>80</v>
      </c>
      <c r="AI8" s="5" t="s">
        <v>666</v>
      </c>
      <c r="AJ8" s="5" t="s">
        <v>431</v>
      </c>
      <c r="AK8" s="5" t="s">
        <v>431</v>
      </c>
      <c r="AL8" s="5">
        <v>105.849</v>
      </c>
      <c r="AM8" s="5">
        <v>105.849</v>
      </c>
      <c r="AN8" s="5">
        <v>200.221</v>
      </c>
      <c r="AO8" s="5">
        <v>1</v>
      </c>
      <c r="AP8" s="5">
        <v>81</v>
      </c>
      <c r="AQ8" s="5" t="s">
        <v>667</v>
      </c>
      <c r="AR8" s="5" t="s">
        <v>434</v>
      </c>
      <c r="AS8" s="5" t="s">
        <v>434</v>
      </c>
      <c r="AT8" s="5">
        <v>183.833</v>
      </c>
      <c r="AU8" s="5">
        <v>183.833</v>
      </c>
      <c r="AV8" s="5">
        <v>185.04599999999999</v>
      </c>
      <c r="AW8" s="5">
        <v>1</v>
      </c>
      <c r="AX8" s="5">
        <v>51</v>
      </c>
      <c r="AY8" s="5" t="s">
        <v>668</v>
      </c>
      <c r="AZ8" s="5" t="s">
        <v>434</v>
      </c>
      <c r="BA8" s="5" t="s">
        <v>434</v>
      </c>
      <c r="BB8" s="5">
        <v>106.17</v>
      </c>
      <c r="BC8" s="5">
        <v>106.17</v>
      </c>
      <c r="BD8" s="5">
        <v>108.709</v>
      </c>
      <c r="BE8" s="5">
        <v>1</v>
      </c>
      <c r="BF8" s="5">
        <v>50</v>
      </c>
      <c r="BG8" s="5" t="s">
        <v>669</v>
      </c>
      <c r="BH8" s="5" t="s">
        <v>431</v>
      </c>
      <c r="BI8" s="5" t="s">
        <v>431</v>
      </c>
      <c r="BJ8" s="5">
        <v>10.185</v>
      </c>
      <c r="BK8" s="5">
        <v>20.61</v>
      </c>
      <c r="BL8" s="5">
        <v>42.298999999999999</v>
      </c>
      <c r="BM8" s="5">
        <v>2</v>
      </c>
      <c r="BN8" s="5">
        <v>50</v>
      </c>
      <c r="BO8" s="5" t="s">
        <v>670</v>
      </c>
      <c r="BP8" s="5" t="s">
        <v>434</v>
      </c>
      <c r="BQ8" s="5" t="s">
        <v>431</v>
      </c>
      <c r="BR8" s="5">
        <v>47.761000000000003</v>
      </c>
      <c r="BS8" s="5">
        <v>47.761000000000003</v>
      </c>
      <c r="BT8" s="5">
        <v>57.774999999999999</v>
      </c>
      <c r="BU8" s="5">
        <v>1</v>
      </c>
      <c r="BV8" s="5">
        <v>50</v>
      </c>
      <c r="BW8" s="5" t="s">
        <v>671</v>
      </c>
      <c r="BX8" s="5" t="s">
        <v>431</v>
      </c>
      <c r="BY8" s="5" t="s">
        <v>434</v>
      </c>
      <c r="BZ8" s="5">
        <v>42.985999999999997</v>
      </c>
      <c r="CA8" s="5">
        <v>42.985999999999997</v>
      </c>
      <c r="CB8" s="5">
        <v>50.478000000000002</v>
      </c>
      <c r="CC8" s="5">
        <v>1</v>
      </c>
      <c r="CD8" s="5">
        <v>60</v>
      </c>
      <c r="CE8" s="5" t="s">
        <v>672</v>
      </c>
      <c r="CF8" s="5" t="s">
        <v>434</v>
      </c>
      <c r="CG8" s="5" t="s">
        <v>434</v>
      </c>
      <c r="CH8" s="5">
        <v>125.41200000000001</v>
      </c>
      <c r="CI8" s="5">
        <v>125.41200000000001</v>
      </c>
      <c r="CJ8" s="5">
        <v>132.93299999999999</v>
      </c>
      <c r="CK8" s="5">
        <v>1</v>
      </c>
      <c r="CL8" s="5">
        <v>50</v>
      </c>
      <c r="CM8" s="5" t="s">
        <v>673</v>
      </c>
      <c r="CN8" s="5" t="s">
        <v>280</v>
      </c>
      <c r="CO8" s="5" t="s">
        <v>281</v>
      </c>
      <c r="CP8" s="5" t="s">
        <v>259</v>
      </c>
      <c r="CQ8" s="5" t="s">
        <v>252</v>
      </c>
      <c r="CR8" s="5"/>
    </row>
    <row r="9" spans="1:96" x14ac:dyDescent="0.3">
      <c r="A9" s="4">
        <v>45608.392222222225</v>
      </c>
      <c r="B9" s="4">
        <v>45608.40351851852</v>
      </c>
      <c r="C9" s="5" t="s">
        <v>30</v>
      </c>
      <c r="D9" s="5" t="s">
        <v>164</v>
      </c>
      <c r="E9" s="5">
        <v>100</v>
      </c>
      <c r="F9" s="5">
        <v>976</v>
      </c>
      <c r="G9" s="5" t="b">
        <v>1</v>
      </c>
      <c r="H9" s="4">
        <v>45608.40353009259</v>
      </c>
      <c r="I9" s="5" t="s">
        <v>165</v>
      </c>
      <c r="J9" s="5"/>
      <c r="K9" s="5"/>
      <c r="L9" s="5"/>
      <c r="M9" s="5"/>
      <c r="N9" s="5">
        <v>42.262</v>
      </c>
      <c r="O9" s="5">
        <v>-71.800700000000006</v>
      </c>
      <c r="P9" s="5" t="s">
        <v>79</v>
      </c>
      <c r="Q9" s="5" t="s">
        <v>80</v>
      </c>
      <c r="R9" s="5">
        <v>1</v>
      </c>
      <c r="S9" s="5" t="s">
        <v>116</v>
      </c>
      <c r="T9" s="5" t="s">
        <v>82</v>
      </c>
      <c r="U9" s="5" t="s">
        <v>93</v>
      </c>
      <c r="V9" s="5" t="s">
        <v>123</v>
      </c>
      <c r="W9" s="5" t="s">
        <v>98</v>
      </c>
      <c r="X9" s="5" t="s">
        <v>128</v>
      </c>
      <c r="Y9" s="5"/>
      <c r="Z9" s="5" t="s">
        <v>118</v>
      </c>
      <c r="AA9" s="5" t="s">
        <v>113</v>
      </c>
      <c r="AB9" s="5" t="s">
        <v>431</v>
      </c>
      <c r="AC9" s="5" t="s">
        <v>431</v>
      </c>
      <c r="AD9" s="5">
        <v>38.197000000000003</v>
      </c>
      <c r="AE9" s="5">
        <v>38.197000000000003</v>
      </c>
      <c r="AF9" s="5">
        <v>39.436</v>
      </c>
      <c r="AG9" s="5">
        <v>1</v>
      </c>
      <c r="AH9" s="5">
        <v>60</v>
      </c>
      <c r="AI9" s="5" t="s">
        <v>674</v>
      </c>
      <c r="AJ9" s="5" t="s">
        <v>431</v>
      </c>
      <c r="AK9" s="5" t="s">
        <v>431</v>
      </c>
      <c r="AL9" s="5">
        <v>63.981000000000002</v>
      </c>
      <c r="AM9" s="5">
        <v>63.981000000000002</v>
      </c>
      <c r="AN9" s="5">
        <v>67.088999999999999</v>
      </c>
      <c r="AO9" s="5">
        <v>1</v>
      </c>
      <c r="AP9" s="5">
        <v>20</v>
      </c>
      <c r="AQ9" s="5" t="s">
        <v>675</v>
      </c>
      <c r="AR9" s="5" t="s">
        <v>431</v>
      </c>
      <c r="AS9" s="5" t="s">
        <v>434</v>
      </c>
      <c r="AT9" s="5">
        <v>36.064</v>
      </c>
      <c r="AU9" s="5">
        <v>36.064</v>
      </c>
      <c r="AV9" s="5">
        <v>37.604999999999997</v>
      </c>
      <c r="AW9" s="5">
        <v>1</v>
      </c>
      <c r="AX9" s="5">
        <v>90</v>
      </c>
      <c r="AY9" s="5" t="s">
        <v>676</v>
      </c>
      <c r="AZ9" s="5" t="s">
        <v>434</v>
      </c>
      <c r="BA9" s="5" t="s">
        <v>434</v>
      </c>
      <c r="BB9" s="5">
        <v>46.908000000000001</v>
      </c>
      <c r="BC9" s="5">
        <v>46.908000000000001</v>
      </c>
      <c r="BD9" s="5">
        <v>60.563000000000002</v>
      </c>
      <c r="BE9" s="5">
        <v>1</v>
      </c>
      <c r="BF9" s="5">
        <v>40</v>
      </c>
      <c r="BG9" s="5" t="s">
        <v>677</v>
      </c>
      <c r="BH9" s="5" t="s">
        <v>431</v>
      </c>
      <c r="BI9" s="5" t="s">
        <v>431</v>
      </c>
      <c r="BJ9" s="5">
        <v>56.003</v>
      </c>
      <c r="BK9" s="5">
        <v>56.003</v>
      </c>
      <c r="BL9" s="5">
        <v>57.34</v>
      </c>
      <c r="BM9" s="5">
        <v>1</v>
      </c>
      <c r="BN9" s="5">
        <v>80</v>
      </c>
      <c r="BO9" s="5" t="s">
        <v>678</v>
      </c>
      <c r="BP9" s="5" t="s">
        <v>431</v>
      </c>
      <c r="BQ9" s="5" t="s">
        <v>431</v>
      </c>
      <c r="BR9" s="5">
        <v>35.070999999999998</v>
      </c>
      <c r="BS9" s="5">
        <v>35.070999999999998</v>
      </c>
      <c r="BT9" s="5">
        <v>37.476999999999997</v>
      </c>
      <c r="BU9" s="5">
        <v>1</v>
      </c>
      <c r="BV9" s="5">
        <v>50</v>
      </c>
      <c r="BW9" s="5" t="s">
        <v>679</v>
      </c>
      <c r="BX9" s="5" t="s">
        <v>431</v>
      </c>
      <c r="BY9" s="5" t="s">
        <v>434</v>
      </c>
      <c r="BZ9" s="5">
        <v>60.344000000000001</v>
      </c>
      <c r="CA9" s="5">
        <v>60.344000000000001</v>
      </c>
      <c r="CB9" s="5">
        <v>61.780999999999999</v>
      </c>
      <c r="CC9" s="5">
        <v>1</v>
      </c>
      <c r="CD9" s="5">
        <v>90</v>
      </c>
      <c r="CE9" s="5" t="s">
        <v>680</v>
      </c>
      <c r="CF9" s="5" t="s">
        <v>431</v>
      </c>
      <c r="CG9" s="5" t="s">
        <v>434</v>
      </c>
      <c r="CH9" s="5">
        <v>63.768000000000001</v>
      </c>
      <c r="CI9" s="5">
        <v>63.768000000000001</v>
      </c>
      <c r="CJ9" s="5">
        <v>64.756</v>
      </c>
      <c r="CK9" s="5">
        <v>1</v>
      </c>
      <c r="CL9" s="5">
        <v>70</v>
      </c>
      <c r="CM9" s="5" t="s">
        <v>681</v>
      </c>
      <c r="CN9" s="5" t="s">
        <v>284</v>
      </c>
      <c r="CO9" s="5" t="s">
        <v>284</v>
      </c>
      <c r="CP9" s="5" t="s">
        <v>285</v>
      </c>
      <c r="CQ9" s="5" t="s">
        <v>285</v>
      </c>
      <c r="CR9" s="5"/>
    </row>
    <row r="10" spans="1:96" x14ac:dyDescent="0.3">
      <c r="A10" s="4">
        <v>45608.455451388887</v>
      </c>
      <c r="B10" s="4">
        <v>45608.468136574076</v>
      </c>
      <c r="C10" s="5" t="s">
        <v>30</v>
      </c>
      <c r="D10" s="5" t="s">
        <v>173</v>
      </c>
      <c r="E10" s="5">
        <v>100</v>
      </c>
      <c r="F10" s="5">
        <v>1096</v>
      </c>
      <c r="G10" s="5" t="b">
        <v>1</v>
      </c>
      <c r="H10" s="4">
        <v>45608.468148148146</v>
      </c>
      <c r="I10" s="5" t="s">
        <v>174</v>
      </c>
      <c r="J10" s="5"/>
      <c r="K10" s="5"/>
      <c r="L10" s="5"/>
      <c r="M10" s="5"/>
      <c r="N10" s="5">
        <v>42.262</v>
      </c>
      <c r="O10" s="5">
        <v>-71.800700000000006</v>
      </c>
      <c r="P10" s="5" t="s">
        <v>79</v>
      </c>
      <c r="Q10" s="5" t="s">
        <v>80</v>
      </c>
      <c r="R10" s="5">
        <v>1</v>
      </c>
      <c r="S10" s="5" t="s">
        <v>116</v>
      </c>
      <c r="T10" s="5" t="s">
        <v>82</v>
      </c>
      <c r="U10" s="5" t="s">
        <v>83</v>
      </c>
      <c r="V10" s="5" t="s">
        <v>127</v>
      </c>
      <c r="W10" s="5" t="s">
        <v>98</v>
      </c>
      <c r="X10" s="5" t="s">
        <v>95</v>
      </c>
      <c r="Y10" s="5"/>
      <c r="Z10" s="5" t="s">
        <v>140</v>
      </c>
      <c r="AA10" s="5" t="s">
        <v>175</v>
      </c>
      <c r="AB10" s="5" t="s">
        <v>434</v>
      </c>
      <c r="AC10" s="5" t="s">
        <v>431</v>
      </c>
      <c r="AD10" s="5">
        <v>15.884</v>
      </c>
      <c r="AE10" s="5">
        <v>71.915999999999997</v>
      </c>
      <c r="AF10" s="5">
        <v>72.725999999999999</v>
      </c>
      <c r="AG10" s="5">
        <v>4</v>
      </c>
      <c r="AH10" s="5">
        <v>90</v>
      </c>
      <c r="AI10" s="5" t="s">
        <v>682</v>
      </c>
      <c r="AJ10" s="5" t="s">
        <v>431</v>
      </c>
      <c r="AK10" s="5" t="s">
        <v>431</v>
      </c>
      <c r="AL10" s="5">
        <v>3.9940000000000002</v>
      </c>
      <c r="AM10" s="5">
        <v>29.481000000000002</v>
      </c>
      <c r="AN10" s="5">
        <v>30.276</v>
      </c>
      <c r="AO10" s="5">
        <v>2</v>
      </c>
      <c r="AP10" s="5">
        <v>100</v>
      </c>
      <c r="AQ10" s="5" t="s">
        <v>683</v>
      </c>
      <c r="AR10" s="5" t="s">
        <v>431</v>
      </c>
      <c r="AS10" s="5" t="s">
        <v>434</v>
      </c>
      <c r="AT10" s="5">
        <v>2.5270000000000001</v>
      </c>
      <c r="AU10" s="5">
        <v>34.054000000000002</v>
      </c>
      <c r="AV10" s="5">
        <v>34.633000000000003</v>
      </c>
      <c r="AW10" s="5">
        <v>2</v>
      </c>
      <c r="AX10" s="5">
        <v>80</v>
      </c>
      <c r="AY10" s="5" t="s">
        <v>684</v>
      </c>
      <c r="AZ10" s="5" t="s">
        <v>431</v>
      </c>
      <c r="BA10" s="5" t="s">
        <v>434</v>
      </c>
      <c r="BB10" s="5">
        <v>2.798</v>
      </c>
      <c r="BC10" s="5">
        <v>33.749000000000002</v>
      </c>
      <c r="BD10" s="5">
        <v>34.520000000000003</v>
      </c>
      <c r="BE10" s="5">
        <v>6</v>
      </c>
      <c r="BF10" s="5">
        <v>100</v>
      </c>
      <c r="BG10" s="5" t="s">
        <v>685</v>
      </c>
      <c r="BH10" s="5" t="s">
        <v>431</v>
      </c>
      <c r="BI10" s="5" t="s">
        <v>431</v>
      </c>
      <c r="BJ10" s="5">
        <v>29.048999999999999</v>
      </c>
      <c r="BK10" s="5">
        <v>56.664000000000001</v>
      </c>
      <c r="BL10" s="5">
        <v>57.33</v>
      </c>
      <c r="BM10" s="5">
        <v>2</v>
      </c>
      <c r="BN10" s="5">
        <v>75</v>
      </c>
      <c r="BO10" s="5" t="s">
        <v>686</v>
      </c>
      <c r="BP10" s="5" t="s">
        <v>434</v>
      </c>
      <c r="BQ10" s="5" t="s">
        <v>431</v>
      </c>
      <c r="BR10" s="5">
        <v>1.9670000000000001</v>
      </c>
      <c r="BS10" s="5">
        <v>29.382000000000001</v>
      </c>
      <c r="BT10" s="5">
        <v>29.960999999999999</v>
      </c>
      <c r="BU10" s="5">
        <v>4</v>
      </c>
      <c r="BV10" s="5">
        <v>100</v>
      </c>
      <c r="BW10" s="5" t="s">
        <v>687</v>
      </c>
      <c r="BX10" s="5" t="s">
        <v>431</v>
      </c>
      <c r="BY10" s="5" t="s">
        <v>434</v>
      </c>
      <c r="BZ10" s="5">
        <v>2.0699999999999998</v>
      </c>
      <c r="CA10" s="5">
        <v>20.207000000000001</v>
      </c>
      <c r="CB10" s="5">
        <v>21.145</v>
      </c>
      <c r="CC10" s="5">
        <v>2</v>
      </c>
      <c r="CD10" s="5">
        <v>80</v>
      </c>
      <c r="CE10" s="5" t="s">
        <v>688</v>
      </c>
      <c r="CF10" s="5" t="s">
        <v>434</v>
      </c>
      <c r="CG10" s="5" t="s">
        <v>434</v>
      </c>
      <c r="CH10" s="5">
        <v>2.3370000000000002</v>
      </c>
      <c r="CI10" s="5">
        <v>28.401</v>
      </c>
      <c r="CJ10" s="5">
        <v>29.539000000000001</v>
      </c>
      <c r="CK10" s="5">
        <v>3</v>
      </c>
      <c r="CL10" s="5">
        <v>92</v>
      </c>
      <c r="CM10" s="5" t="s">
        <v>689</v>
      </c>
      <c r="CN10" s="5" t="s">
        <v>251</v>
      </c>
      <c r="CO10" s="5" t="s">
        <v>281</v>
      </c>
      <c r="CP10" s="5" t="s">
        <v>262</v>
      </c>
      <c r="CQ10" s="5" t="s">
        <v>246</v>
      </c>
      <c r="CR10" s="5"/>
    </row>
    <row r="11" spans="1:96" x14ac:dyDescent="0.3">
      <c r="A11" s="4">
        <v>45608.618321759262</v>
      </c>
      <c r="B11" s="4">
        <v>45608.627175925925</v>
      </c>
      <c r="C11" s="5" t="s">
        <v>30</v>
      </c>
      <c r="D11" s="5" t="s">
        <v>190</v>
      </c>
      <c r="E11" s="5">
        <v>100</v>
      </c>
      <c r="F11" s="5">
        <v>765</v>
      </c>
      <c r="G11" s="5" t="b">
        <v>1</v>
      </c>
      <c r="H11" s="4">
        <v>45608.627175925925</v>
      </c>
      <c r="I11" s="5" t="s">
        <v>191</v>
      </c>
      <c r="J11" s="5"/>
      <c r="K11" s="5"/>
      <c r="L11" s="5"/>
      <c r="M11" s="5"/>
      <c r="N11" s="5">
        <v>42.2821</v>
      </c>
      <c r="O11" s="5">
        <v>-71.8262</v>
      </c>
      <c r="P11" s="5" t="s">
        <v>79</v>
      </c>
      <c r="Q11" s="5" t="s">
        <v>80</v>
      </c>
      <c r="R11" s="5">
        <v>1</v>
      </c>
      <c r="S11" s="5" t="s">
        <v>116</v>
      </c>
      <c r="T11" s="5" t="s">
        <v>192</v>
      </c>
      <c r="U11" s="5" t="s">
        <v>93</v>
      </c>
      <c r="V11" s="5" t="s">
        <v>193</v>
      </c>
      <c r="W11" s="5" t="s">
        <v>98</v>
      </c>
      <c r="X11" s="5" t="s">
        <v>86</v>
      </c>
      <c r="Y11" s="5"/>
      <c r="Z11" s="5" t="s">
        <v>87</v>
      </c>
      <c r="AA11" s="5" t="s">
        <v>88</v>
      </c>
      <c r="AB11" s="5" t="s">
        <v>431</v>
      </c>
      <c r="AC11" s="5" t="s">
        <v>431</v>
      </c>
      <c r="AD11" s="5">
        <v>17.193999999999999</v>
      </c>
      <c r="AE11" s="5">
        <v>17.193999999999999</v>
      </c>
      <c r="AF11" s="5">
        <v>18.062000000000001</v>
      </c>
      <c r="AG11" s="5">
        <v>1</v>
      </c>
      <c r="AH11" s="5">
        <v>90</v>
      </c>
      <c r="AI11" s="5" t="s">
        <v>690</v>
      </c>
      <c r="AJ11" s="5" t="s">
        <v>431</v>
      </c>
      <c r="AK11" s="5" t="s">
        <v>431</v>
      </c>
      <c r="AL11" s="5">
        <v>19.838999999999999</v>
      </c>
      <c r="AM11" s="5">
        <v>19.838999999999999</v>
      </c>
      <c r="AN11" s="5">
        <v>29.007000000000001</v>
      </c>
      <c r="AO11" s="5">
        <v>1</v>
      </c>
      <c r="AP11" s="5">
        <v>65</v>
      </c>
      <c r="AQ11" s="5" t="s">
        <v>691</v>
      </c>
      <c r="AR11" s="5" t="s">
        <v>431</v>
      </c>
      <c r="AS11" s="5" t="s">
        <v>434</v>
      </c>
      <c r="AT11" s="5">
        <v>15.263999999999999</v>
      </c>
      <c r="AU11" s="5">
        <v>15.263999999999999</v>
      </c>
      <c r="AV11" s="5">
        <v>29.766999999999999</v>
      </c>
      <c r="AW11" s="5">
        <v>1</v>
      </c>
      <c r="AX11" s="5">
        <v>35</v>
      </c>
      <c r="AY11" s="5" t="s">
        <v>692</v>
      </c>
      <c r="AZ11" s="5" t="s">
        <v>434</v>
      </c>
      <c r="BA11" s="5" t="s">
        <v>434</v>
      </c>
      <c r="BB11" s="5">
        <v>21.478999999999999</v>
      </c>
      <c r="BC11" s="5">
        <v>21.478999999999999</v>
      </c>
      <c r="BD11" s="5">
        <v>27.597999999999999</v>
      </c>
      <c r="BE11" s="5">
        <v>1</v>
      </c>
      <c r="BF11" s="5">
        <v>40</v>
      </c>
      <c r="BG11" s="5" t="s">
        <v>693</v>
      </c>
      <c r="BH11" s="5" t="s">
        <v>431</v>
      </c>
      <c r="BI11" s="5" t="s">
        <v>431</v>
      </c>
      <c r="BJ11" s="5">
        <v>10.579000000000001</v>
      </c>
      <c r="BK11" s="5">
        <v>10.579000000000001</v>
      </c>
      <c r="BL11" s="5">
        <v>17.724</v>
      </c>
      <c r="BM11" s="5">
        <v>1</v>
      </c>
      <c r="BN11" s="5">
        <v>66</v>
      </c>
      <c r="BO11" s="5" t="s">
        <v>694</v>
      </c>
      <c r="BP11" s="5" t="s">
        <v>434</v>
      </c>
      <c r="BQ11" s="5" t="s">
        <v>431</v>
      </c>
      <c r="BR11" s="5">
        <v>62.314</v>
      </c>
      <c r="BS11" s="5">
        <v>62.314</v>
      </c>
      <c r="BT11" s="5">
        <v>63.152999999999999</v>
      </c>
      <c r="BU11" s="5">
        <v>1</v>
      </c>
      <c r="BV11" s="5">
        <v>60</v>
      </c>
      <c r="BW11" s="5" t="s">
        <v>695</v>
      </c>
      <c r="BX11" s="5" t="s">
        <v>434</v>
      </c>
      <c r="BY11" s="5" t="s">
        <v>434</v>
      </c>
      <c r="BZ11" s="5">
        <v>10.634</v>
      </c>
      <c r="CA11" s="5">
        <v>10.634</v>
      </c>
      <c r="CB11" s="5">
        <v>14.667</v>
      </c>
      <c r="CC11" s="5">
        <v>1</v>
      </c>
      <c r="CD11" s="5">
        <v>80</v>
      </c>
      <c r="CE11" s="5" t="s">
        <v>696</v>
      </c>
      <c r="CF11" s="5" t="s">
        <v>434</v>
      </c>
      <c r="CG11" s="5" t="s">
        <v>434</v>
      </c>
      <c r="CH11" s="5">
        <v>94.006</v>
      </c>
      <c r="CI11" s="5">
        <v>94.006</v>
      </c>
      <c r="CJ11" s="5">
        <v>95.082999999999998</v>
      </c>
      <c r="CK11" s="5">
        <v>1</v>
      </c>
      <c r="CL11" s="5">
        <v>40</v>
      </c>
      <c r="CM11" s="5" t="s">
        <v>697</v>
      </c>
      <c r="CN11" s="5" t="s">
        <v>294</v>
      </c>
      <c r="CO11" s="5" t="s">
        <v>244</v>
      </c>
      <c r="CP11" s="5" t="s">
        <v>292</v>
      </c>
      <c r="CQ11" s="5" t="s">
        <v>246</v>
      </c>
      <c r="CR11" s="5"/>
    </row>
    <row r="12" spans="1:96" x14ac:dyDescent="0.3">
      <c r="A12" s="4">
        <v>45608.628229166665</v>
      </c>
      <c r="B12" s="4">
        <v>45608.638310185182</v>
      </c>
      <c r="C12" s="5" t="s">
        <v>30</v>
      </c>
      <c r="D12" s="5" t="s">
        <v>194</v>
      </c>
      <c r="E12" s="5">
        <v>100</v>
      </c>
      <c r="F12" s="5">
        <v>870</v>
      </c>
      <c r="G12" s="5" t="b">
        <v>1</v>
      </c>
      <c r="H12" s="4">
        <v>45608.638310185182</v>
      </c>
      <c r="I12" s="5" t="s">
        <v>195</v>
      </c>
      <c r="J12" s="5"/>
      <c r="K12" s="5"/>
      <c r="L12" s="5"/>
      <c r="M12" s="5"/>
      <c r="N12" s="5">
        <v>42.2821</v>
      </c>
      <c r="O12" s="5">
        <v>-71.8262</v>
      </c>
      <c r="P12" s="5" t="s">
        <v>79</v>
      </c>
      <c r="Q12" s="5" t="s">
        <v>80</v>
      </c>
      <c r="R12" s="5">
        <v>1</v>
      </c>
      <c r="S12" s="5" t="s">
        <v>116</v>
      </c>
      <c r="T12" s="5" t="s">
        <v>196</v>
      </c>
      <c r="U12" s="5" t="s">
        <v>93</v>
      </c>
      <c r="V12" s="5" t="s">
        <v>123</v>
      </c>
      <c r="W12" s="5" t="s">
        <v>85</v>
      </c>
      <c r="X12" s="5" t="s">
        <v>95</v>
      </c>
      <c r="Y12" s="5"/>
      <c r="Z12" s="5" t="s">
        <v>118</v>
      </c>
      <c r="AA12" s="5" t="s">
        <v>88</v>
      </c>
      <c r="AB12" s="5" t="s">
        <v>431</v>
      </c>
      <c r="AC12" s="5" t="s">
        <v>431</v>
      </c>
      <c r="AD12" s="5">
        <v>40.081000000000003</v>
      </c>
      <c r="AE12" s="5">
        <v>40.081000000000003</v>
      </c>
      <c r="AF12" s="5">
        <v>45.151000000000003</v>
      </c>
      <c r="AG12" s="5">
        <v>1</v>
      </c>
      <c r="AH12" s="5">
        <v>71</v>
      </c>
      <c r="AI12" s="5" t="s">
        <v>698</v>
      </c>
      <c r="AJ12" s="5" t="s">
        <v>434</v>
      </c>
      <c r="AK12" s="5" t="s">
        <v>431</v>
      </c>
      <c r="AL12" s="5">
        <v>13.212</v>
      </c>
      <c r="AM12" s="5">
        <v>14.629</v>
      </c>
      <c r="AN12" s="5">
        <v>16.745000000000001</v>
      </c>
      <c r="AO12" s="5">
        <v>2</v>
      </c>
      <c r="AP12" s="5">
        <v>83</v>
      </c>
      <c r="AQ12" s="5" t="s">
        <v>699</v>
      </c>
      <c r="AR12" s="5" t="s">
        <v>431</v>
      </c>
      <c r="AS12" s="5" t="s">
        <v>434</v>
      </c>
      <c r="AT12" s="5">
        <v>1.0169999999999999</v>
      </c>
      <c r="AU12" s="5">
        <v>11.317</v>
      </c>
      <c r="AV12" s="5">
        <v>12.936999999999999</v>
      </c>
      <c r="AW12" s="5">
        <v>3</v>
      </c>
      <c r="AX12" s="5">
        <v>87</v>
      </c>
      <c r="AY12" s="5" t="s">
        <v>700</v>
      </c>
      <c r="AZ12" s="5" t="s">
        <v>434</v>
      </c>
      <c r="BA12" s="5" t="s">
        <v>434</v>
      </c>
      <c r="BB12" s="5">
        <v>1.456</v>
      </c>
      <c r="BC12" s="5">
        <v>27.53</v>
      </c>
      <c r="BD12" s="5">
        <v>28.518000000000001</v>
      </c>
      <c r="BE12" s="5">
        <v>5</v>
      </c>
      <c r="BF12" s="5">
        <v>72</v>
      </c>
      <c r="BG12" s="5" t="s">
        <v>701</v>
      </c>
      <c r="BH12" s="5" t="s">
        <v>431</v>
      </c>
      <c r="BI12" s="5" t="s">
        <v>431</v>
      </c>
      <c r="BJ12" s="5">
        <v>20.207000000000001</v>
      </c>
      <c r="BK12" s="5">
        <v>27.599</v>
      </c>
      <c r="BL12" s="5">
        <v>28.763999999999999</v>
      </c>
      <c r="BM12" s="5">
        <v>3</v>
      </c>
      <c r="BN12" s="5">
        <v>67</v>
      </c>
      <c r="BO12" s="5" t="s">
        <v>702</v>
      </c>
      <c r="BP12" s="5" t="s">
        <v>431</v>
      </c>
      <c r="BQ12" s="5" t="s">
        <v>431</v>
      </c>
      <c r="BR12" s="5">
        <v>0.85</v>
      </c>
      <c r="BS12" s="5">
        <v>27.013000000000002</v>
      </c>
      <c r="BT12" s="5">
        <v>28.001999999999999</v>
      </c>
      <c r="BU12" s="5">
        <v>3</v>
      </c>
      <c r="BV12" s="5">
        <v>76</v>
      </c>
      <c r="BW12" s="5" t="s">
        <v>703</v>
      </c>
      <c r="BX12" s="5" t="s">
        <v>434</v>
      </c>
      <c r="BY12" s="5" t="s">
        <v>434</v>
      </c>
      <c r="BZ12" s="5">
        <v>1.2969999999999999</v>
      </c>
      <c r="CA12" s="5">
        <v>36.512999999999998</v>
      </c>
      <c r="CB12" s="5">
        <v>37.619999999999997</v>
      </c>
      <c r="CC12" s="5">
        <v>2</v>
      </c>
      <c r="CD12" s="5">
        <v>64</v>
      </c>
      <c r="CE12" s="5" t="s">
        <v>704</v>
      </c>
      <c r="CF12" s="5" t="s">
        <v>431</v>
      </c>
      <c r="CG12" s="5" t="s">
        <v>434</v>
      </c>
      <c r="CH12" s="5">
        <v>17.256</v>
      </c>
      <c r="CI12" s="5">
        <v>17.256</v>
      </c>
      <c r="CJ12" s="5">
        <v>19.317</v>
      </c>
      <c r="CK12" s="5">
        <v>1</v>
      </c>
      <c r="CL12" s="5">
        <v>76</v>
      </c>
      <c r="CM12" s="5" t="s">
        <v>705</v>
      </c>
      <c r="CN12" s="5" t="s">
        <v>278</v>
      </c>
      <c r="CO12" s="5" t="s">
        <v>295</v>
      </c>
      <c r="CP12" s="5" t="s">
        <v>296</v>
      </c>
      <c r="CQ12" s="5" t="s">
        <v>277</v>
      </c>
      <c r="CR12" s="5"/>
    </row>
    <row r="13" spans="1:96" x14ac:dyDescent="0.3">
      <c r="A13" s="4">
        <v>45608.693819444445</v>
      </c>
      <c r="B13" s="4">
        <v>45608.706736111111</v>
      </c>
      <c r="C13" s="5" t="s">
        <v>30</v>
      </c>
      <c r="D13" s="5" t="s">
        <v>206</v>
      </c>
      <c r="E13" s="5">
        <v>100</v>
      </c>
      <c r="F13" s="5">
        <v>1116</v>
      </c>
      <c r="G13" s="5" t="b">
        <v>1</v>
      </c>
      <c r="H13" s="4">
        <v>45608.706747685188</v>
      </c>
      <c r="I13" s="5" t="s">
        <v>207</v>
      </c>
      <c r="J13" s="5"/>
      <c r="K13" s="5"/>
      <c r="L13" s="5"/>
      <c r="M13" s="5"/>
      <c r="N13" s="5">
        <v>42.247399999999999</v>
      </c>
      <c r="O13" s="5">
        <v>-71.806899999999999</v>
      </c>
      <c r="P13" s="5" t="s">
        <v>79</v>
      </c>
      <c r="Q13" s="5" t="s">
        <v>80</v>
      </c>
      <c r="R13" s="5">
        <v>1</v>
      </c>
      <c r="S13" s="5" t="s">
        <v>116</v>
      </c>
      <c r="T13" s="5" t="s">
        <v>82</v>
      </c>
      <c r="U13" s="5" t="s">
        <v>93</v>
      </c>
      <c r="V13" s="5" t="s">
        <v>123</v>
      </c>
      <c r="W13" s="5" t="s">
        <v>85</v>
      </c>
      <c r="X13" s="5" t="s">
        <v>86</v>
      </c>
      <c r="Y13" s="5"/>
      <c r="Z13" s="5" t="s">
        <v>118</v>
      </c>
      <c r="AA13" s="5" t="s">
        <v>88</v>
      </c>
      <c r="AB13" s="5" t="s">
        <v>431</v>
      </c>
      <c r="AC13" s="5" t="s">
        <v>431</v>
      </c>
      <c r="AD13" s="5">
        <v>24.373999999999999</v>
      </c>
      <c r="AE13" s="5">
        <v>24.373999999999999</v>
      </c>
      <c r="AF13" s="5">
        <v>28.129000000000001</v>
      </c>
      <c r="AG13" s="5">
        <v>1</v>
      </c>
      <c r="AH13" s="5">
        <v>82</v>
      </c>
      <c r="AI13" s="5"/>
      <c r="AJ13" s="5" t="s">
        <v>431</v>
      </c>
      <c r="AK13" s="5" t="s">
        <v>431</v>
      </c>
      <c r="AL13" s="5">
        <v>29.254000000000001</v>
      </c>
      <c r="AM13" s="5">
        <v>104.956</v>
      </c>
      <c r="AN13" s="5">
        <v>105.872</v>
      </c>
      <c r="AO13" s="5">
        <v>4</v>
      </c>
      <c r="AP13" s="5">
        <v>100</v>
      </c>
      <c r="AQ13" s="5" t="s">
        <v>706</v>
      </c>
      <c r="AR13" s="5" t="s">
        <v>431</v>
      </c>
      <c r="AS13" s="5" t="s">
        <v>434</v>
      </c>
      <c r="AT13" s="5">
        <v>11.561</v>
      </c>
      <c r="AU13" s="5">
        <v>11.561</v>
      </c>
      <c r="AV13" s="5">
        <v>12.561999999999999</v>
      </c>
      <c r="AW13" s="5">
        <v>1</v>
      </c>
      <c r="AX13" s="5">
        <v>71</v>
      </c>
      <c r="AY13" s="5" t="s">
        <v>707</v>
      </c>
      <c r="AZ13" s="5" t="s">
        <v>434</v>
      </c>
      <c r="BA13" s="5" t="s">
        <v>434</v>
      </c>
      <c r="BB13" s="5">
        <v>7.9790000000000001</v>
      </c>
      <c r="BC13" s="5">
        <v>93.688000000000002</v>
      </c>
      <c r="BD13" s="5">
        <v>94.980999999999995</v>
      </c>
      <c r="BE13" s="5">
        <v>5</v>
      </c>
      <c r="BF13" s="5">
        <v>100</v>
      </c>
      <c r="BG13" s="5" t="s">
        <v>708</v>
      </c>
      <c r="BH13" s="5" t="s">
        <v>434</v>
      </c>
      <c r="BI13" s="5" t="s">
        <v>431</v>
      </c>
      <c r="BJ13" s="5">
        <v>10.964</v>
      </c>
      <c r="BK13" s="5">
        <v>58.287999999999997</v>
      </c>
      <c r="BL13" s="5">
        <v>59.374000000000002</v>
      </c>
      <c r="BM13" s="5">
        <v>4</v>
      </c>
      <c r="BN13" s="5">
        <v>100</v>
      </c>
      <c r="BO13" s="5" t="s">
        <v>709</v>
      </c>
      <c r="BP13" s="5" t="s">
        <v>434</v>
      </c>
      <c r="BQ13" s="5" t="s">
        <v>431</v>
      </c>
      <c r="BR13" s="5">
        <v>10.987</v>
      </c>
      <c r="BS13" s="5">
        <v>122.63800000000001</v>
      </c>
      <c r="BT13" s="5">
        <v>123.964</v>
      </c>
      <c r="BU13" s="5">
        <v>10</v>
      </c>
      <c r="BV13" s="5">
        <v>100</v>
      </c>
      <c r="BW13" s="5" t="s">
        <v>710</v>
      </c>
      <c r="BX13" s="5" t="s">
        <v>434</v>
      </c>
      <c r="BY13" s="5" t="s">
        <v>434</v>
      </c>
      <c r="BZ13" s="5">
        <v>7.968</v>
      </c>
      <c r="CA13" s="5">
        <v>54.731999999999999</v>
      </c>
      <c r="CB13" s="5">
        <v>55.917000000000002</v>
      </c>
      <c r="CC13" s="5">
        <v>3</v>
      </c>
      <c r="CD13" s="5">
        <v>100</v>
      </c>
      <c r="CE13" s="5" t="s">
        <v>711</v>
      </c>
      <c r="CF13" s="5" t="s">
        <v>434</v>
      </c>
      <c r="CG13" s="5" t="s">
        <v>434</v>
      </c>
      <c r="CH13" s="5">
        <v>13.132</v>
      </c>
      <c r="CI13" s="5">
        <v>69.081000000000003</v>
      </c>
      <c r="CJ13" s="5">
        <v>71.528999999999996</v>
      </c>
      <c r="CK13" s="5">
        <v>8</v>
      </c>
      <c r="CL13" s="5">
        <v>100</v>
      </c>
      <c r="CM13" s="5" t="s">
        <v>712</v>
      </c>
      <c r="CN13" s="5" t="s">
        <v>290</v>
      </c>
      <c r="CO13" s="5" t="s">
        <v>300</v>
      </c>
      <c r="CP13" s="5" t="s">
        <v>301</v>
      </c>
      <c r="CQ13" s="5" t="s">
        <v>262</v>
      </c>
      <c r="CR13" s="5"/>
    </row>
    <row r="14" spans="1:96" x14ac:dyDescent="0.3">
      <c r="A14" s="4">
        <v>45608.969212962962</v>
      </c>
      <c r="B14" s="4">
        <v>45608.988298611112</v>
      </c>
      <c r="C14" s="5" t="s">
        <v>30</v>
      </c>
      <c r="D14" s="5" t="s">
        <v>114</v>
      </c>
      <c r="E14" s="5">
        <v>100</v>
      </c>
      <c r="F14" s="5">
        <v>1648</v>
      </c>
      <c r="G14" s="5" t="b">
        <v>1</v>
      </c>
      <c r="H14" s="4">
        <v>45608.988310185188</v>
      </c>
      <c r="I14" s="5" t="s">
        <v>223</v>
      </c>
      <c r="J14" s="5"/>
      <c r="K14" s="5"/>
      <c r="L14" s="5"/>
      <c r="M14" s="5"/>
      <c r="N14" s="5">
        <v>42.262</v>
      </c>
      <c r="O14" s="5">
        <v>-71.800700000000006</v>
      </c>
      <c r="P14" s="5" t="s">
        <v>79</v>
      </c>
      <c r="Q14" s="5" t="s">
        <v>80</v>
      </c>
      <c r="R14" s="5">
        <v>1</v>
      </c>
      <c r="S14" s="5" t="s">
        <v>81</v>
      </c>
      <c r="T14" s="5" t="s">
        <v>82</v>
      </c>
      <c r="U14" s="5" t="s">
        <v>83</v>
      </c>
      <c r="V14" s="5" t="s">
        <v>120</v>
      </c>
      <c r="W14" s="5" t="s">
        <v>85</v>
      </c>
      <c r="X14" s="5" t="s">
        <v>95</v>
      </c>
      <c r="Y14" s="5"/>
      <c r="Z14" s="5" t="s">
        <v>118</v>
      </c>
      <c r="AA14" s="5" t="s">
        <v>216</v>
      </c>
      <c r="AB14" s="5" t="s">
        <v>434</v>
      </c>
      <c r="AC14" s="5" t="s">
        <v>431</v>
      </c>
      <c r="AD14" s="5">
        <v>93.733000000000004</v>
      </c>
      <c r="AE14" s="5">
        <v>93.733000000000004</v>
      </c>
      <c r="AF14" s="5">
        <v>94.448999999999998</v>
      </c>
      <c r="AG14" s="5">
        <v>1</v>
      </c>
      <c r="AH14" s="5">
        <v>80</v>
      </c>
      <c r="AI14" s="5" t="s">
        <v>713</v>
      </c>
      <c r="AJ14" s="5" t="s">
        <v>434</v>
      </c>
      <c r="AK14" s="5" t="s">
        <v>431</v>
      </c>
      <c r="AL14" s="5">
        <v>70.066999999999993</v>
      </c>
      <c r="AM14" s="5">
        <v>81.418999999999997</v>
      </c>
      <c r="AN14" s="5">
        <v>82.367000000000004</v>
      </c>
      <c r="AO14" s="5">
        <v>2</v>
      </c>
      <c r="AP14" s="5">
        <v>80</v>
      </c>
      <c r="AQ14" s="5" t="s">
        <v>714</v>
      </c>
      <c r="AR14" s="5" t="s">
        <v>434</v>
      </c>
      <c r="AS14" s="5" t="s">
        <v>434</v>
      </c>
      <c r="AT14" s="5">
        <v>72.558999999999997</v>
      </c>
      <c r="AU14" s="5">
        <v>72.558999999999997</v>
      </c>
      <c r="AV14" s="5">
        <v>73.731999999999999</v>
      </c>
      <c r="AW14" s="5">
        <v>1</v>
      </c>
      <c r="AX14" s="5">
        <v>80</v>
      </c>
      <c r="AY14" s="5" t="s">
        <v>715</v>
      </c>
      <c r="AZ14" s="5" t="s">
        <v>434</v>
      </c>
      <c r="BA14" s="5" t="s">
        <v>434</v>
      </c>
      <c r="BB14" s="5">
        <v>39.44</v>
      </c>
      <c r="BC14" s="5">
        <v>39.44</v>
      </c>
      <c r="BD14" s="5">
        <v>64.036000000000001</v>
      </c>
      <c r="BE14" s="5">
        <v>1</v>
      </c>
      <c r="BF14" s="5">
        <v>80</v>
      </c>
      <c r="BG14" s="5" t="s">
        <v>716</v>
      </c>
      <c r="BH14" s="5" t="s">
        <v>431</v>
      </c>
      <c r="BI14" s="5" t="s">
        <v>431</v>
      </c>
      <c r="BJ14" s="5">
        <v>12.157</v>
      </c>
      <c r="BK14" s="5">
        <v>37.957999999999998</v>
      </c>
      <c r="BL14" s="5">
        <v>47.304000000000002</v>
      </c>
      <c r="BM14" s="5">
        <v>2</v>
      </c>
      <c r="BN14" s="5">
        <v>90</v>
      </c>
      <c r="BO14" s="5" t="s">
        <v>717</v>
      </c>
      <c r="BP14" s="5" t="s">
        <v>434</v>
      </c>
      <c r="BQ14" s="5" t="s">
        <v>431</v>
      </c>
      <c r="BR14" s="5">
        <v>30.890999999999998</v>
      </c>
      <c r="BS14" s="5">
        <v>31.451000000000001</v>
      </c>
      <c r="BT14" s="5">
        <v>39.47</v>
      </c>
      <c r="BU14" s="5">
        <v>2</v>
      </c>
      <c r="BV14" s="5">
        <v>90</v>
      </c>
      <c r="BW14" s="5" t="s">
        <v>718</v>
      </c>
      <c r="BX14" s="5" t="s">
        <v>431</v>
      </c>
      <c r="BY14" s="5" t="s">
        <v>434</v>
      </c>
      <c r="BZ14" s="5">
        <v>22.678000000000001</v>
      </c>
      <c r="CA14" s="5">
        <v>133.92699999999999</v>
      </c>
      <c r="CB14" s="5">
        <v>134.60300000000001</v>
      </c>
      <c r="CC14" s="5">
        <v>6</v>
      </c>
      <c r="CD14" s="5">
        <v>80</v>
      </c>
      <c r="CE14" s="5" t="s">
        <v>719</v>
      </c>
      <c r="CF14" s="5" t="s">
        <v>431</v>
      </c>
      <c r="CG14" s="5" t="s">
        <v>434</v>
      </c>
      <c r="CH14" s="5">
        <v>44.2</v>
      </c>
      <c r="CI14" s="5">
        <v>98.769000000000005</v>
      </c>
      <c r="CJ14" s="5">
        <v>103.92400000000001</v>
      </c>
      <c r="CK14" s="5">
        <v>4</v>
      </c>
      <c r="CL14" s="5">
        <v>90</v>
      </c>
      <c r="CM14" s="5" t="s">
        <v>720</v>
      </c>
      <c r="CN14" s="5" t="s">
        <v>245</v>
      </c>
      <c r="CO14" s="5" t="s">
        <v>244</v>
      </c>
      <c r="CP14" s="5" t="s">
        <v>244</v>
      </c>
      <c r="CQ14" s="5" t="s">
        <v>262</v>
      </c>
      <c r="CR14" s="5"/>
    </row>
    <row r="15" spans="1:96" x14ac:dyDescent="0.3">
      <c r="A15" s="4">
        <v>45611.491770833331</v>
      </c>
      <c r="B15" s="4">
        <v>45611.499861111108</v>
      </c>
      <c r="C15" s="5" t="s">
        <v>30</v>
      </c>
      <c r="D15" s="5" t="s">
        <v>1134</v>
      </c>
      <c r="E15" s="5">
        <v>100</v>
      </c>
      <c r="F15" s="5">
        <v>698</v>
      </c>
      <c r="G15" s="5" t="b">
        <v>1</v>
      </c>
      <c r="H15" s="4">
        <v>45611.499872685185</v>
      </c>
      <c r="I15" s="5" t="s">
        <v>1135</v>
      </c>
      <c r="J15" s="5"/>
      <c r="K15" s="5"/>
      <c r="L15" s="5"/>
      <c r="M15" s="5"/>
      <c r="N15" s="5">
        <v>42.262</v>
      </c>
      <c r="O15" s="5">
        <v>-71.800700000000006</v>
      </c>
      <c r="P15" s="5" t="s">
        <v>79</v>
      </c>
      <c r="Q15" s="5" t="s">
        <v>80</v>
      </c>
      <c r="R15" s="5">
        <v>1</v>
      </c>
      <c r="S15" s="5" t="s">
        <v>116</v>
      </c>
      <c r="T15" s="5" t="s">
        <v>82</v>
      </c>
      <c r="U15" s="5" t="s">
        <v>83</v>
      </c>
      <c r="V15" s="5" t="s">
        <v>131</v>
      </c>
      <c r="W15" s="5" t="s">
        <v>98</v>
      </c>
      <c r="X15" s="5" t="s">
        <v>95</v>
      </c>
      <c r="Y15" s="5"/>
      <c r="Z15" s="5" t="s">
        <v>118</v>
      </c>
      <c r="AA15" s="5" t="s">
        <v>170</v>
      </c>
      <c r="AB15" s="5" t="s">
        <v>434</v>
      </c>
      <c r="AC15" s="5" t="s">
        <v>431</v>
      </c>
      <c r="AD15" s="5">
        <v>20.831</v>
      </c>
      <c r="AE15" s="5">
        <v>20.831</v>
      </c>
      <c r="AF15" s="5">
        <v>22.05</v>
      </c>
      <c r="AG15" s="5">
        <v>1</v>
      </c>
      <c r="AH15" s="5">
        <v>75</v>
      </c>
      <c r="AI15" s="5"/>
      <c r="AJ15" s="5" t="s">
        <v>434</v>
      </c>
      <c r="AK15" s="5" t="s">
        <v>431</v>
      </c>
      <c r="AL15" s="5">
        <v>41.231999999999999</v>
      </c>
      <c r="AM15" s="5">
        <v>41.231999999999999</v>
      </c>
      <c r="AN15" s="5">
        <v>43.247999999999998</v>
      </c>
      <c r="AO15" s="5">
        <v>1</v>
      </c>
      <c r="AP15" s="5">
        <v>28</v>
      </c>
      <c r="AQ15" s="5"/>
      <c r="AR15" s="5" t="s">
        <v>431</v>
      </c>
      <c r="AS15" s="5" t="s">
        <v>434</v>
      </c>
      <c r="AT15" s="5">
        <v>15.872999999999999</v>
      </c>
      <c r="AU15" s="5">
        <v>15.872999999999999</v>
      </c>
      <c r="AV15" s="5">
        <v>17.68</v>
      </c>
      <c r="AW15" s="5">
        <v>1</v>
      </c>
      <c r="AX15" s="5">
        <v>60</v>
      </c>
      <c r="AY15" s="5"/>
      <c r="AZ15" s="5" t="s">
        <v>434</v>
      </c>
      <c r="BA15" s="5" t="s">
        <v>434</v>
      </c>
      <c r="BB15" s="5">
        <v>61.015000000000001</v>
      </c>
      <c r="BC15" s="5">
        <v>61.015000000000001</v>
      </c>
      <c r="BD15" s="5">
        <v>66.263000000000005</v>
      </c>
      <c r="BE15" s="5">
        <v>1</v>
      </c>
      <c r="BF15" s="5">
        <v>71</v>
      </c>
      <c r="BG15" s="5"/>
      <c r="BH15" s="5" t="s">
        <v>431</v>
      </c>
      <c r="BI15" s="5" t="s">
        <v>431</v>
      </c>
      <c r="BJ15" s="5">
        <v>13.378</v>
      </c>
      <c r="BK15" s="5">
        <v>13.378</v>
      </c>
      <c r="BL15" s="5">
        <v>20.478999999999999</v>
      </c>
      <c r="BM15" s="5">
        <v>1</v>
      </c>
      <c r="BN15" s="5">
        <v>80</v>
      </c>
      <c r="BO15" s="5"/>
      <c r="BP15" s="5" t="s">
        <v>431</v>
      </c>
      <c r="BQ15" s="5" t="s">
        <v>431</v>
      </c>
      <c r="BR15" s="5">
        <v>103.184</v>
      </c>
      <c r="BS15" s="5">
        <v>103.184</v>
      </c>
      <c r="BT15" s="5">
        <v>105.85899999999999</v>
      </c>
      <c r="BU15" s="5">
        <v>1</v>
      </c>
      <c r="BV15" s="5">
        <v>92</v>
      </c>
      <c r="BW15" s="5"/>
      <c r="BX15" s="5" t="s">
        <v>431</v>
      </c>
      <c r="BY15" s="5" t="s">
        <v>434</v>
      </c>
      <c r="BZ15" s="5">
        <v>132.58000000000001</v>
      </c>
      <c r="CA15" s="5">
        <v>132.58000000000001</v>
      </c>
      <c r="CB15" s="5">
        <v>134.55500000000001</v>
      </c>
      <c r="CC15" s="5">
        <v>1</v>
      </c>
      <c r="CD15" s="5">
        <v>91</v>
      </c>
      <c r="CE15" s="5"/>
      <c r="CF15" s="5" t="s">
        <v>431</v>
      </c>
      <c r="CG15" s="5" t="s">
        <v>434</v>
      </c>
      <c r="CH15" s="5">
        <v>38.378999999999998</v>
      </c>
      <c r="CI15" s="5">
        <v>38.378999999999998</v>
      </c>
      <c r="CJ15" s="5">
        <v>40.987000000000002</v>
      </c>
      <c r="CK15" s="5">
        <v>1</v>
      </c>
      <c r="CL15" s="5">
        <v>28</v>
      </c>
      <c r="CM15" s="5"/>
      <c r="CN15" s="5" t="s">
        <v>277</v>
      </c>
      <c r="CO15" s="5" t="s">
        <v>244</v>
      </c>
      <c r="CP15" s="5" t="s">
        <v>253</v>
      </c>
      <c r="CQ15" s="5" t="s">
        <v>268</v>
      </c>
      <c r="CR15" s="5"/>
    </row>
    <row r="16" spans="1:96" x14ac:dyDescent="0.3">
      <c r="A16" s="4">
        <v>45643.680219907408</v>
      </c>
      <c r="B16" s="4">
        <v>45643.694212962961</v>
      </c>
      <c r="C16" s="5" t="s">
        <v>30</v>
      </c>
      <c r="D16" s="5" t="s">
        <v>185</v>
      </c>
      <c r="E16" s="5">
        <v>100</v>
      </c>
      <c r="F16" s="5">
        <v>1208</v>
      </c>
      <c r="G16" s="5" t="b">
        <v>1</v>
      </c>
      <c r="H16" s="4">
        <v>45643.694224537037</v>
      </c>
      <c r="I16" s="5" t="s">
        <v>1205</v>
      </c>
      <c r="J16" s="5"/>
      <c r="K16" s="5"/>
      <c r="L16" s="5"/>
      <c r="M16" s="5"/>
      <c r="N16" s="5">
        <v>42.255499999999998</v>
      </c>
      <c r="O16" s="5">
        <v>-71.771900000000002</v>
      </c>
      <c r="P16" s="5" t="s">
        <v>79</v>
      </c>
      <c r="Q16" s="5" t="s">
        <v>80</v>
      </c>
      <c r="R16" s="5">
        <v>1</v>
      </c>
      <c r="S16" s="5" t="s">
        <v>116</v>
      </c>
      <c r="T16" s="5" t="s">
        <v>1150</v>
      </c>
      <c r="U16" s="5" t="s">
        <v>83</v>
      </c>
      <c r="V16" s="5" t="s">
        <v>120</v>
      </c>
      <c r="W16" s="5" t="s">
        <v>85</v>
      </c>
      <c r="X16" s="5" t="s">
        <v>95</v>
      </c>
      <c r="Y16" s="5"/>
      <c r="Z16" s="5" t="s">
        <v>140</v>
      </c>
      <c r="AA16" s="5" t="s">
        <v>113</v>
      </c>
      <c r="AB16" s="5" t="s">
        <v>434</v>
      </c>
      <c r="AC16" s="5" t="s">
        <v>431</v>
      </c>
      <c r="AD16" s="5">
        <v>30.202999999999999</v>
      </c>
      <c r="AE16" s="5">
        <v>84.587000000000003</v>
      </c>
      <c r="AF16" s="5">
        <v>85.29</v>
      </c>
      <c r="AG16" s="5">
        <v>2</v>
      </c>
      <c r="AH16" s="5">
        <v>90</v>
      </c>
      <c r="AI16" s="5" t="s">
        <v>1209</v>
      </c>
      <c r="AJ16" s="18" t="s">
        <v>431</v>
      </c>
      <c r="AK16" s="18" t="s">
        <v>431</v>
      </c>
      <c r="AL16" s="5">
        <v>11.815</v>
      </c>
      <c r="AM16" s="5">
        <v>45.46</v>
      </c>
      <c r="AN16" s="5">
        <v>46.582999999999998</v>
      </c>
      <c r="AO16" s="5">
        <v>2</v>
      </c>
      <c r="AP16" s="5">
        <v>92</v>
      </c>
      <c r="AQ16" s="5" t="s">
        <v>1210</v>
      </c>
      <c r="AR16" s="5" t="s">
        <v>431</v>
      </c>
      <c r="AS16" s="18" t="s">
        <v>434</v>
      </c>
      <c r="AT16" s="5">
        <v>11.904999999999999</v>
      </c>
      <c r="AU16" s="5">
        <v>24.75</v>
      </c>
      <c r="AV16" s="5">
        <v>26.529</v>
      </c>
      <c r="AW16" s="5">
        <v>2</v>
      </c>
      <c r="AX16" s="5">
        <v>92</v>
      </c>
      <c r="AY16" s="5" t="s">
        <v>1211</v>
      </c>
      <c r="AZ16" s="5" t="s">
        <v>434</v>
      </c>
      <c r="BA16" s="18" t="s">
        <v>434</v>
      </c>
      <c r="BB16" s="5">
        <v>9.9380000000000006</v>
      </c>
      <c r="BC16" s="5">
        <v>53.34</v>
      </c>
      <c r="BD16" s="5">
        <v>63.142000000000003</v>
      </c>
      <c r="BE16" s="5">
        <v>2</v>
      </c>
      <c r="BF16" s="5">
        <v>92</v>
      </c>
      <c r="BG16" s="5" t="s">
        <v>1212</v>
      </c>
      <c r="BH16" s="5" t="s">
        <v>434</v>
      </c>
      <c r="BI16" s="18" t="s">
        <v>431</v>
      </c>
      <c r="BJ16" s="5">
        <v>11.789</v>
      </c>
      <c r="BK16" s="5">
        <v>79.894000000000005</v>
      </c>
      <c r="BL16" s="5">
        <v>80.974000000000004</v>
      </c>
      <c r="BM16" s="5">
        <v>2</v>
      </c>
      <c r="BN16" s="5">
        <v>93</v>
      </c>
      <c r="BO16" s="5" t="s">
        <v>1213</v>
      </c>
      <c r="BP16" s="5" t="s">
        <v>431</v>
      </c>
      <c r="BQ16" s="18" t="s">
        <v>431</v>
      </c>
      <c r="BR16" s="5">
        <v>11.254</v>
      </c>
      <c r="BS16" s="5">
        <v>44.503999999999998</v>
      </c>
      <c r="BT16" s="5">
        <v>45.225000000000001</v>
      </c>
      <c r="BU16" s="5">
        <v>2</v>
      </c>
      <c r="BV16" s="5">
        <v>91</v>
      </c>
      <c r="BW16" s="5" t="s">
        <v>1214</v>
      </c>
      <c r="BX16" s="5" t="s">
        <v>431</v>
      </c>
      <c r="BY16" s="18" t="s">
        <v>434</v>
      </c>
      <c r="BZ16" s="5">
        <v>70.933999999999997</v>
      </c>
      <c r="CA16" s="5">
        <v>70.933999999999997</v>
      </c>
      <c r="CB16" s="5">
        <v>72.241</v>
      </c>
      <c r="CC16" s="5">
        <v>1</v>
      </c>
      <c r="CD16" s="5">
        <v>91</v>
      </c>
      <c r="CE16" s="5" t="s">
        <v>1215</v>
      </c>
      <c r="CF16" s="5" t="s">
        <v>434</v>
      </c>
      <c r="CG16" s="18" t="s">
        <v>434</v>
      </c>
      <c r="CH16" s="5">
        <v>17.437000000000001</v>
      </c>
      <c r="CI16" s="5">
        <v>17.437000000000001</v>
      </c>
      <c r="CJ16" s="5">
        <v>31.667999999999999</v>
      </c>
      <c r="CK16" s="5">
        <v>1</v>
      </c>
      <c r="CL16" s="5">
        <v>92</v>
      </c>
      <c r="CM16" s="5" t="s">
        <v>1216</v>
      </c>
      <c r="CN16" s="5" t="s">
        <v>245</v>
      </c>
      <c r="CO16" s="5" t="s">
        <v>244</v>
      </c>
      <c r="CP16" s="5" t="s">
        <v>260</v>
      </c>
      <c r="CQ16" s="5" t="s">
        <v>246</v>
      </c>
      <c r="CR16" s="5"/>
    </row>
  </sheetData>
  <autoFilter ref="A1:CR14" xr:uid="{971F162A-C93F-49F4-AEFD-5C422595431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194CB-8080-45EB-8ADC-C1C77E847386}">
  <dimension ref="A1:CR18"/>
  <sheetViews>
    <sheetView topLeftCell="BS1" workbookViewId="0">
      <selection activeCell="BT23" sqref="BT23"/>
    </sheetView>
  </sheetViews>
  <sheetFormatPr defaultColWidth="6.21875" defaultRowHeight="14.4" x14ac:dyDescent="0.3"/>
  <cols>
    <col min="1" max="1" width="55.109375" style="7" bestFit="1" customWidth="1"/>
    <col min="2" max="2" width="54.44140625" style="7" bestFit="1" customWidth="1"/>
    <col min="3" max="3" width="20.21875" style="7" bestFit="1" customWidth="1"/>
    <col min="4" max="4" width="24" style="7" bestFit="1" customWidth="1"/>
    <col min="5" max="5" width="22.6640625" style="7" bestFit="1" customWidth="1"/>
    <col min="6" max="6" width="22.5546875" style="7" bestFit="1" customWidth="1"/>
    <col min="7" max="7" width="22.21875" style="7" bestFit="1" customWidth="1"/>
    <col min="8" max="8" width="59.44140625" style="7" bestFit="1" customWidth="1"/>
    <col min="9" max="9" width="23.44140625" style="7" bestFit="1" customWidth="1"/>
    <col min="10" max="10" width="32.44140625" style="7" bestFit="1" customWidth="1"/>
    <col min="11" max="11" width="32.77734375" style="7" bestFit="1" customWidth="1"/>
    <col min="12" max="12" width="28.21875" style="7" bestFit="1" customWidth="1"/>
    <col min="13" max="13" width="36.33203125" style="7" bestFit="1" customWidth="1"/>
    <col min="14" max="14" width="29.88671875" style="7" bestFit="1" customWidth="1"/>
    <col min="15" max="15" width="31.44140625" style="7" bestFit="1" customWidth="1"/>
    <col min="16" max="16" width="33.6640625" style="7" bestFit="1" customWidth="1"/>
    <col min="17" max="17" width="27.6640625" style="7" bestFit="1" customWidth="1"/>
    <col min="18" max="18" width="32.44140625" style="7" bestFit="1" customWidth="1"/>
    <col min="19" max="19" width="38.88671875" style="7" bestFit="1" customWidth="1"/>
    <col min="20" max="20" width="38.33203125" style="7" bestFit="1" customWidth="1"/>
    <col min="21" max="21" width="47.88671875" style="7" bestFit="1" customWidth="1"/>
    <col min="22" max="22" width="41.109375" style="7" bestFit="1" customWidth="1"/>
    <col min="23" max="23" width="28.109375" style="7" bestFit="1" customWidth="1"/>
    <col min="24" max="24" width="73.6640625" style="7" bestFit="1" customWidth="1"/>
    <col min="25" max="25" width="85" style="7" bestFit="1" customWidth="1"/>
    <col min="26" max="26" width="50.44140625" style="7" bestFit="1" customWidth="1"/>
    <col min="27" max="27" width="42.44140625" style="7" bestFit="1" customWidth="1"/>
    <col min="28" max="28" width="46.6640625" style="7" bestFit="1" customWidth="1"/>
    <col min="29" max="29" width="10.44140625" style="7" bestFit="1" customWidth="1"/>
    <col min="30" max="30" width="34.33203125" style="7" bestFit="1" customWidth="1"/>
    <col min="31" max="31" width="33.6640625" style="7" bestFit="1" customWidth="1"/>
    <col min="32" max="32" width="35.5546875" style="7" bestFit="1" customWidth="1"/>
    <col min="33" max="33" width="35.88671875" style="7" bestFit="1" customWidth="1"/>
    <col min="34" max="34" width="102" style="7" bestFit="1" customWidth="1"/>
    <col min="35" max="35" width="255.77734375" style="7" bestFit="1" customWidth="1"/>
    <col min="36" max="36" width="78.21875" style="7" bestFit="1" customWidth="1"/>
    <col min="37" max="37" width="10.44140625" style="7" bestFit="1" customWidth="1"/>
    <col min="38" max="38" width="34.33203125" style="7" bestFit="1" customWidth="1"/>
    <col min="39" max="39" width="33.6640625" style="7" bestFit="1" customWidth="1"/>
    <col min="40" max="40" width="35.5546875" style="7" bestFit="1" customWidth="1"/>
    <col min="41" max="41" width="35.88671875" style="7" bestFit="1" customWidth="1"/>
    <col min="42" max="42" width="102" style="7" bestFit="1" customWidth="1"/>
    <col min="43" max="43" width="255.77734375" style="7" bestFit="1" customWidth="1"/>
    <col min="44" max="44" width="91.77734375" style="7" bestFit="1" customWidth="1"/>
    <col min="45" max="45" width="10.44140625" style="7" bestFit="1" customWidth="1"/>
    <col min="46" max="46" width="34.33203125" style="7" bestFit="1" customWidth="1"/>
    <col min="47" max="47" width="33.6640625" style="7" bestFit="1" customWidth="1"/>
    <col min="48" max="48" width="35.5546875" style="7" bestFit="1" customWidth="1"/>
    <col min="49" max="49" width="35.88671875" style="7" bestFit="1" customWidth="1"/>
    <col min="50" max="50" width="102" style="7" bestFit="1" customWidth="1"/>
    <col min="51" max="51" width="255.77734375" style="7" bestFit="1" customWidth="1"/>
    <col min="52" max="52" width="21.44140625" style="7" bestFit="1" customWidth="1"/>
    <col min="53" max="53" width="10.44140625" style="7" bestFit="1" customWidth="1"/>
    <col min="54" max="54" width="34.33203125" style="7" bestFit="1" customWidth="1"/>
    <col min="55" max="55" width="33.6640625" style="7" bestFit="1" customWidth="1"/>
    <col min="56" max="56" width="35.5546875" style="7" bestFit="1" customWidth="1"/>
    <col min="57" max="57" width="35.88671875" style="7" bestFit="1" customWidth="1"/>
    <col min="58" max="58" width="102" style="7" bestFit="1" customWidth="1"/>
    <col min="59" max="59" width="255.77734375" style="7" bestFit="1" customWidth="1"/>
    <col min="60" max="60" width="87.21875" style="7" bestFit="1" customWidth="1"/>
    <col min="61" max="61" width="10.44140625" style="7" bestFit="1" customWidth="1"/>
    <col min="62" max="62" width="34.33203125" style="7" bestFit="1" customWidth="1"/>
    <col min="63" max="63" width="33.6640625" style="7" bestFit="1" customWidth="1"/>
    <col min="64" max="64" width="35.5546875" style="7" bestFit="1" customWidth="1"/>
    <col min="65" max="65" width="35.88671875" style="7" bestFit="1" customWidth="1"/>
    <col min="66" max="66" width="102" style="7" bestFit="1" customWidth="1"/>
    <col min="67" max="67" width="255.77734375" style="7" bestFit="1" customWidth="1"/>
    <col min="68" max="68" width="21.44140625" style="7" bestFit="1" customWidth="1"/>
    <col min="69" max="69" width="10.44140625" style="7" bestFit="1" customWidth="1"/>
    <col min="70" max="70" width="34.33203125" style="7" bestFit="1" customWidth="1"/>
    <col min="71" max="71" width="33.6640625" style="7" bestFit="1" customWidth="1"/>
    <col min="72" max="72" width="35.5546875" style="7" bestFit="1" customWidth="1"/>
    <col min="73" max="73" width="35.88671875" style="7" bestFit="1" customWidth="1"/>
    <col min="74" max="74" width="102" style="7" bestFit="1" customWidth="1"/>
    <col min="75" max="75" width="255.77734375" style="7" bestFit="1" customWidth="1"/>
    <col min="76" max="76" width="21.44140625" style="7" bestFit="1" customWidth="1"/>
    <col min="77" max="77" width="10.44140625" style="7" bestFit="1" customWidth="1"/>
    <col min="78" max="78" width="34.33203125" style="7" bestFit="1" customWidth="1"/>
    <col min="79" max="79" width="33.6640625" style="7" bestFit="1" customWidth="1"/>
    <col min="80" max="80" width="35.5546875" style="7" bestFit="1" customWidth="1"/>
    <col min="81" max="81" width="35.88671875" style="7" bestFit="1" customWidth="1"/>
    <col min="82" max="82" width="102" style="7" bestFit="1" customWidth="1"/>
    <col min="83" max="83" width="255.77734375" style="7" bestFit="1" customWidth="1"/>
    <col min="84" max="84" width="86.88671875" style="7" bestFit="1" customWidth="1"/>
    <col min="85" max="85" width="10.44140625" style="7" bestFit="1" customWidth="1"/>
    <col min="86" max="86" width="34.33203125" style="7" bestFit="1" customWidth="1"/>
    <col min="87" max="87" width="33.6640625" style="7" bestFit="1" customWidth="1"/>
    <col min="88" max="88" width="35.5546875" style="7" bestFit="1" customWidth="1"/>
    <col min="89" max="89" width="35.88671875" style="7" bestFit="1" customWidth="1"/>
    <col min="90" max="90" width="102" style="7" bestFit="1" customWidth="1"/>
    <col min="91" max="95" width="255.77734375" style="7" bestFit="1" customWidth="1"/>
    <col min="96" max="96" width="19.6640625" style="7" bestFit="1" customWidth="1"/>
    <col min="97" max="16384" width="6.21875" style="7"/>
  </cols>
  <sheetData>
    <row r="1" spans="1:96"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723</v>
      </c>
      <c r="AC1" s="2" t="s">
        <v>1116</v>
      </c>
      <c r="AD1" s="2" t="s">
        <v>724</v>
      </c>
      <c r="AE1" s="2" t="s">
        <v>725</v>
      </c>
      <c r="AF1" s="2" t="s">
        <v>726</v>
      </c>
      <c r="AG1" s="2" t="s">
        <v>727</v>
      </c>
      <c r="AH1" s="2" t="s">
        <v>728</v>
      </c>
      <c r="AI1" s="2" t="s">
        <v>729</v>
      </c>
      <c r="AJ1" s="2" t="s">
        <v>730</v>
      </c>
      <c r="AK1" s="2" t="s">
        <v>1117</v>
      </c>
      <c r="AL1" s="2" t="s">
        <v>731</v>
      </c>
      <c r="AM1" s="2" t="s">
        <v>732</v>
      </c>
      <c r="AN1" s="2" t="s">
        <v>733</v>
      </c>
      <c r="AO1" s="2" t="s">
        <v>734</v>
      </c>
      <c r="AP1" s="2" t="s">
        <v>735</v>
      </c>
      <c r="AQ1" s="2" t="s">
        <v>736</v>
      </c>
      <c r="AR1" s="2" t="s">
        <v>737</v>
      </c>
      <c r="AS1" s="2" t="s">
        <v>1118</v>
      </c>
      <c r="AT1" s="2" t="s">
        <v>738</v>
      </c>
      <c r="AU1" s="2" t="s">
        <v>739</v>
      </c>
      <c r="AV1" s="2" t="s">
        <v>740</v>
      </c>
      <c r="AW1" s="2" t="s">
        <v>741</v>
      </c>
      <c r="AX1" s="2" t="s">
        <v>742</v>
      </c>
      <c r="AY1" s="2" t="s">
        <v>743</v>
      </c>
      <c r="AZ1" s="2" t="s">
        <v>744</v>
      </c>
      <c r="BA1" s="2" t="s">
        <v>1119</v>
      </c>
      <c r="BB1" s="2" t="s">
        <v>745</v>
      </c>
      <c r="BC1" s="2" t="s">
        <v>746</v>
      </c>
      <c r="BD1" s="2" t="s">
        <v>747</v>
      </c>
      <c r="BE1" s="2" t="s">
        <v>748</v>
      </c>
      <c r="BF1" s="2" t="s">
        <v>749</v>
      </c>
      <c r="BG1" s="2" t="s">
        <v>750</v>
      </c>
      <c r="BH1" s="2" t="s">
        <v>751</v>
      </c>
      <c r="BI1" s="2" t="s">
        <v>1120</v>
      </c>
      <c r="BJ1" s="2" t="s">
        <v>752</v>
      </c>
      <c r="BK1" s="2" t="s">
        <v>753</v>
      </c>
      <c r="BL1" s="2" t="s">
        <v>754</v>
      </c>
      <c r="BM1" s="2" t="s">
        <v>755</v>
      </c>
      <c r="BN1" s="2" t="s">
        <v>756</v>
      </c>
      <c r="BO1" s="2" t="s">
        <v>757</v>
      </c>
      <c r="BP1" s="2" t="s">
        <v>758</v>
      </c>
      <c r="BQ1" s="2" t="s">
        <v>1121</v>
      </c>
      <c r="BR1" s="2" t="s">
        <v>759</v>
      </c>
      <c r="BS1" s="2" t="s">
        <v>760</v>
      </c>
      <c r="BT1" s="2" t="s">
        <v>761</v>
      </c>
      <c r="BU1" s="2" t="s">
        <v>762</v>
      </c>
      <c r="BV1" s="2" t="s">
        <v>763</v>
      </c>
      <c r="BW1" s="2" t="s">
        <v>764</v>
      </c>
      <c r="BX1" s="2" t="s">
        <v>765</v>
      </c>
      <c r="BY1" s="2" t="s">
        <v>1122</v>
      </c>
      <c r="BZ1" s="2" t="s">
        <v>766</v>
      </c>
      <c r="CA1" s="2" t="s">
        <v>767</v>
      </c>
      <c r="CB1" s="2" t="s">
        <v>768</v>
      </c>
      <c r="CC1" s="2" t="s">
        <v>769</v>
      </c>
      <c r="CD1" s="2" t="s">
        <v>770</v>
      </c>
      <c r="CE1" s="2" t="s">
        <v>771</v>
      </c>
      <c r="CF1" s="2" t="s">
        <v>772</v>
      </c>
      <c r="CG1" s="2" t="s">
        <v>1123</v>
      </c>
      <c r="CH1" s="2" t="s">
        <v>773</v>
      </c>
      <c r="CI1" s="2" t="s">
        <v>774</v>
      </c>
      <c r="CJ1" s="2" t="s">
        <v>775</v>
      </c>
      <c r="CK1" s="2" t="s">
        <v>776</v>
      </c>
      <c r="CL1" s="2" t="s">
        <v>777</v>
      </c>
      <c r="CM1" s="2" t="s">
        <v>778</v>
      </c>
      <c r="CN1" s="2" t="s">
        <v>233</v>
      </c>
      <c r="CO1" s="2" t="s">
        <v>234</v>
      </c>
      <c r="CP1" s="2" t="s">
        <v>235</v>
      </c>
      <c r="CQ1" s="2" t="s">
        <v>236</v>
      </c>
      <c r="CR1" s="2" t="s">
        <v>721</v>
      </c>
    </row>
    <row r="2" spans="1:96" ht="13.2" customHeight="1" x14ac:dyDescent="0.3">
      <c r="A2" s="2" t="s">
        <v>27</v>
      </c>
      <c r="B2" s="2" t="s">
        <v>28</v>
      </c>
      <c r="C2" s="2" t="s">
        <v>29</v>
      </c>
      <c r="D2" s="2" t="s">
        <v>30</v>
      </c>
      <c r="E2" s="2" t="s">
        <v>4</v>
      </c>
      <c r="F2" s="2" t="s">
        <v>5</v>
      </c>
      <c r="G2" s="2" t="s">
        <v>6</v>
      </c>
      <c r="H2" s="2" t="s">
        <v>31</v>
      </c>
      <c r="I2" s="2" t="s">
        <v>32</v>
      </c>
      <c r="J2" s="2" t="s">
        <v>33</v>
      </c>
      <c r="K2" s="2" t="s">
        <v>34</v>
      </c>
      <c r="L2" s="2" t="s">
        <v>35</v>
      </c>
      <c r="M2" s="2" t="s">
        <v>36</v>
      </c>
      <c r="N2" s="2" t="s">
        <v>37</v>
      </c>
      <c r="O2" s="2" t="s">
        <v>38</v>
      </c>
      <c r="P2" s="2" t="s">
        <v>39</v>
      </c>
      <c r="Q2" s="2" t="s">
        <v>40</v>
      </c>
      <c r="R2" s="2" t="s">
        <v>17</v>
      </c>
      <c r="S2" s="2" t="s">
        <v>41</v>
      </c>
      <c r="T2" s="2" t="s">
        <v>42</v>
      </c>
      <c r="U2" s="2" t="s">
        <v>43</v>
      </c>
      <c r="V2" s="2" t="s">
        <v>44</v>
      </c>
      <c r="W2" s="2" t="s">
        <v>45</v>
      </c>
      <c r="X2" s="2" t="s">
        <v>46</v>
      </c>
      <c r="Y2" s="2" t="s">
        <v>47</v>
      </c>
      <c r="Z2" s="2" t="s">
        <v>48</v>
      </c>
      <c r="AA2" s="2" t="s">
        <v>49</v>
      </c>
      <c r="AB2" s="2" t="s">
        <v>361</v>
      </c>
      <c r="AC2" s="2"/>
      <c r="AD2" s="2" t="s">
        <v>362</v>
      </c>
      <c r="AE2" s="2" t="s">
        <v>363</v>
      </c>
      <c r="AF2" s="2" t="s">
        <v>364</v>
      </c>
      <c r="AG2" s="2" t="s">
        <v>365</v>
      </c>
      <c r="AH2" s="2" t="s">
        <v>366</v>
      </c>
      <c r="AI2" s="2" t="s">
        <v>367</v>
      </c>
      <c r="AJ2" s="2" t="s">
        <v>369</v>
      </c>
      <c r="AK2" s="2"/>
      <c r="AL2" s="2" t="s">
        <v>362</v>
      </c>
      <c r="AM2" s="2" t="s">
        <v>363</v>
      </c>
      <c r="AN2" s="2" t="s">
        <v>364</v>
      </c>
      <c r="AO2" s="2" t="s">
        <v>365</v>
      </c>
      <c r="AP2" s="2" t="s">
        <v>366</v>
      </c>
      <c r="AQ2" s="2" t="s">
        <v>367</v>
      </c>
      <c r="AR2" s="2" t="s">
        <v>578</v>
      </c>
      <c r="AS2" s="2"/>
      <c r="AT2" s="2" t="s">
        <v>362</v>
      </c>
      <c r="AU2" s="2" t="s">
        <v>363</v>
      </c>
      <c r="AV2" s="2" t="s">
        <v>364</v>
      </c>
      <c r="AW2" s="2" t="s">
        <v>365</v>
      </c>
      <c r="AX2" s="2" t="s">
        <v>366</v>
      </c>
      <c r="AY2" s="2" t="s">
        <v>367</v>
      </c>
      <c r="AZ2" s="3" t="s">
        <v>779</v>
      </c>
      <c r="BA2" s="3"/>
      <c r="BB2" s="2" t="s">
        <v>362</v>
      </c>
      <c r="BC2" s="2" t="s">
        <v>363</v>
      </c>
      <c r="BD2" s="2" t="s">
        <v>364</v>
      </c>
      <c r="BE2" s="2" t="s">
        <v>365</v>
      </c>
      <c r="BF2" s="2" t="s">
        <v>366</v>
      </c>
      <c r="BG2" s="2" t="s">
        <v>367</v>
      </c>
      <c r="BH2" s="2" t="s">
        <v>372</v>
      </c>
      <c r="BI2" s="2"/>
      <c r="BJ2" s="2" t="s">
        <v>362</v>
      </c>
      <c r="BK2" s="2" t="s">
        <v>363</v>
      </c>
      <c r="BL2" s="2" t="s">
        <v>364</v>
      </c>
      <c r="BM2" s="2" t="s">
        <v>365</v>
      </c>
      <c r="BN2" s="2" t="s">
        <v>366</v>
      </c>
      <c r="BO2" s="2" t="s">
        <v>367</v>
      </c>
      <c r="BP2" s="3" t="s">
        <v>579</v>
      </c>
      <c r="BQ2" s="3"/>
      <c r="BR2" s="2" t="s">
        <v>362</v>
      </c>
      <c r="BS2" s="2" t="s">
        <v>363</v>
      </c>
      <c r="BT2" s="2" t="s">
        <v>364</v>
      </c>
      <c r="BU2" s="2" t="s">
        <v>365</v>
      </c>
      <c r="BV2" s="2" t="s">
        <v>366</v>
      </c>
      <c r="BW2" s="2" t="s">
        <v>367</v>
      </c>
      <c r="BX2" s="3" t="s">
        <v>780</v>
      </c>
      <c r="BY2" s="3"/>
      <c r="BZ2" s="2" t="s">
        <v>362</v>
      </c>
      <c r="CA2" s="2" t="s">
        <v>363</v>
      </c>
      <c r="CB2" s="2" t="s">
        <v>364</v>
      </c>
      <c r="CC2" s="2" t="s">
        <v>365</v>
      </c>
      <c r="CD2" s="2" t="s">
        <v>366</v>
      </c>
      <c r="CE2" s="2" t="s">
        <v>367</v>
      </c>
      <c r="CF2" s="2" t="s">
        <v>581</v>
      </c>
      <c r="CG2" s="2"/>
      <c r="CH2" s="2" t="s">
        <v>362</v>
      </c>
      <c r="CI2" s="2" t="s">
        <v>363</v>
      </c>
      <c r="CJ2" s="2" t="s">
        <v>364</v>
      </c>
      <c r="CK2" s="2" t="s">
        <v>365</v>
      </c>
      <c r="CL2" s="2" t="s">
        <v>366</v>
      </c>
      <c r="CM2" s="2" t="s">
        <v>367</v>
      </c>
      <c r="CN2" s="2" t="s">
        <v>237</v>
      </c>
      <c r="CO2" s="2" t="s">
        <v>237</v>
      </c>
      <c r="CP2" s="2" t="s">
        <v>238</v>
      </c>
      <c r="CQ2" s="2" t="s">
        <v>237</v>
      </c>
      <c r="CR2" s="2" t="s">
        <v>721</v>
      </c>
    </row>
    <row r="3" spans="1:96" ht="15.6" x14ac:dyDescent="0.3">
      <c r="A3" s="2" t="s">
        <v>50</v>
      </c>
      <c r="B3" s="2" t="s">
        <v>51</v>
      </c>
      <c r="C3" s="2" t="s">
        <v>52</v>
      </c>
      <c r="D3" s="2" t="s">
        <v>53</v>
      </c>
      <c r="E3" s="2" t="s">
        <v>54</v>
      </c>
      <c r="F3" s="2" t="s">
        <v>55</v>
      </c>
      <c r="G3" s="2" t="s">
        <v>56</v>
      </c>
      <c r="H3" s="2" t="s">
        <v>57</v>
      </c>
      <c r="I3" s="2" t="s">
        <v>58</v>
      </c>
      <c r="J3" s="2" t="s">
        <v>59</v>
      </c>
      <c r="K3" s="2" t="s">
        <v>60</v>
      </c>
      <c r="L3" s="2" t="s">
        <v>61</v>
      </c>
      <c r="M3" s="2" t="s">
        <v>62</v>
      </c>
      <c r="N3" s="2" t="s">
        <v>63</v>
      </c>
      <c r="O3" s="2" t="s">
        <v>64</v>
      </c>
      <c r="P3" s="2" t="s">
        <v>65</v>
      </c>
      <c r="Q3" s="2" t="s">
        <v>66</v>
      </c>
      <c r="R3" s="2" t="s">
        <v>67</v>
      </c>
      <c r="S3" s="2" t="s">
        <v>68</v>
      </c>
      <c r="T3" s="2" t="s">
        <v>69</v>
      </c>
      <c r="U3" s="2" t="s">
        <v>70</v>
      </c>
      <c r="V3" s="2" t="s">
        <v>71</v>
      </c>
      <c r="W3" s="2" t="s">
        <v>72</v>
      </c>
      <c r="X3" s="2" t="s">
        <v>73</v>
      </c>
      <c r="Y3" s="2" t="s">
        <v>74</v>
      </c>
      <c r="Z3" s="2" t="s">
        <v>75</v>
      </c>
      <c r="AA3" s="2" t="s">
        <v>76</v>
      </c>
      <c r="AB3" s="2" t="s">
        <v>781</v>
      </c>
      <c r="AC3" s="2"/>
      <c r="AD3" s="2" t="s">
        <v>782</v>
      </c>
      <c r="AE3" s="2" t="s">
        <v>783</v>
      </c>
      <c r="AF3" s="2" t="s">
        <v>784</v>
      </c>
      <c r="AG3" s="2" t="s">
        <v>785</v>
      </c>
      <c r="AH3" s="2" t="s">
        <v>786</v>
      </c>
      <c r="AI3" s="2" t="s">
        <v>787</v>
      </c>
      <c r="AJ3" s="2" t="s">
        <v>788</v>
      </c>
      <c r="AK3" s="2"/>
      <c r="AL3" s="2" t="s">
        <v>789</v>
      </c>
      <c r="AM3" s="2" t="s">
        <v>790</v>
      </c>
      <c r="AN3" s="2" t="s">
        <v>791</v>
      </c>
      <c r="AO3" s="2" t="s">
        <v>792</v>
      </c>
      <c r="AP3" s="2" t="s">
        <v>793</v>
      </c>
      <c r="AQ3" s="2" t="s">
        <v>794</v>
      </c>
      <c r="AR3" s="2" t="s">
        <v>795</v>
      </c>
      <c r="AS3" s="2"/>
      <c r="AT3" s="2" t="s">
        <v>796</v>
      </c>
      <c r="AU3" s="2" t="s">
        <v>797</v>
      </c>
      <c r="AV3" s="2" t="s">
        <v>798</v>
      </c>
      <c r="AW3" s="2" t="s">
        <v>799</v>
      </c>
      <c r="AX3" s="2" t="s">
        <v>800</v>
      </c>
      <c r="AY3" s="2" t="s">
        <v>801</v>
      </c>
      <c r="AZ3" s="2" t="s">
        <v>802</v>
      </c>
      <c r="BA3" s="2"/>
      <c r="BB3" s="2" t="s">
        <v>803</v>
      </c>
      <c r="BC3" s="2" t="s">
        <v>804</v>
      </c>
      <c r="BD3" s="2" t="s">
        <v>805</v>
      </c>
      <c r="BE3" s="2" t="s">
        <v>806</v>
      </c>
      <c r="BF3" s="2" t="s">
        <v>807</v>
      </c>
      <c r="BG3" s="2" t="s">
        <v>808</v>
      </c>
      <c r="BH3" s="2" t="s">
        <v>809</v>
      </c>
      <c r="BI3" s="2"/>
      <c r="BJ3" s="2" t="s">
        <v>810</v>
      </c>
      <c r="BK3" s="2" t="s">
        <v>811</v>
      </c>
      <c r="BL3" s="2" t="s">
        <v>812</v>
      </c>
      <c r="BM3" s="2" t="s">
        <v>813</v>
      </c>
      <c r="BN3" s="2" t="s">
        <v>814</v>
      </c>
      <c r="BO3" s="2" t="s">
        <v>815</v>
      </c>
      <c r="BP3" s="2" t="s">
        <v>816</v>
      </c>
      <c r="BQ3" s="2"/>
      <c r="BR3" s="2" t="s">
        <v>817</v>
      </c>
      <c r="BS3" s="2" t="s">
        <v>818</v>
      </c>
      <c r="BT3" s="2" t="s">
        <v>819</v>
      </c>
      <c r="BU3" s="2" t="s">
        <v>820</v>
      </c>
      <c r="BV3" s="2" t="s">
        <v>821</v>
      </c>
      <c r="BW3" s="2" t="s">
        <v>822</v>
      </c>
      <c r="BX3" s="2" t="s">
        <v>823</v>
      </c>
      <c r="BY3" s="2"/>
      <c r="BZ3" s="2" t="s">
        <v>824</v>
      </c>
      <c r="CA3" s="2" t="s">
        <v>825</v>
      </c>
      <c r="CB3" s="2" t="s">
        <v>826</v>
      </c>
      <c r="CC3" s="2" t="s">
        <v>827</v>
      </c>
      <c r="CD3" s="2" t="s">
        <v>828</v>
      </c>
      <c r="CE3" s="2" t="s">
        <v>829</v>
      </c>
      <c r="CF3" s="2" t="s">
        <v>830</v>
      </c>
      <c r="CG3" s="2"/>
      <c r="CH3" s="2" t="s">
        <v>831</v>
      </c>
      <c r="CI3" s="2" t="s">
        <v>832</v>
      </c>
      <c r="CJ3" s="2" t="s">
        <v>833</v>
      </c>
      <c r="CK3" s="2" t="s">
        <v>834</v>
      </c>
      <c r="CL3" s="2" t="s">
        <v>835</v>
      </c>
      <c r="CM3" s="2" t="s">
        <v>836</v>
      </c>
      <c r="CN3" s="2" t="s">
        <v>239</v>
      </c>
      <c r="CO3" s="2" t="s">
        <v>240</v>
      </c>
      <c r="CP3" s="2" t="s">
        <v>241</v>
      </c>
      <c r="CQ3" s="2" t="s">
        <v>242</v>
      </c>
      <c r="CR3" s="2" t="s">
        <v>722</v>
      </c>
    </row>
    <row r="4" spans="1:96" x14ac:dyDescent="0.3">
      <c r="A4" s="4">
        <v>45600.544652777775</v>
      </c>
      <c r="B4" s="4">
        <v>45600.547488425924</v>
      </c>
      <c r="C4" s="5" t="s">
        <v>30</v>
      </c>
      <c r="D4" s="5" t="s">
        <v>96</v>
      </c>
      <c r="E4" s="5">
        <v>100</v>
      </c>
      <c r="F4" s="5">
        <v>245</v>
      </c>
      <c r="G4" s="5" t="b">
        <v>1</v>
      </c>
      <c r="H4" s="4">
        <v>45600.547500000001</v>
      </c>
      <c r="I4" s="5" t="s">
        <v>97</v>
      </c>
      <c r="J4" s="5"/>
      <c r="K4" s="5"/>
      <c r="L4" s="5"/>
      <c r="M4" s="5"/>
      <c r="N4" s="5">
        <v>42.247399999999999</v>
      </c>
      <c r="O4" s="5">
        <v>-71.806899999999999</v>
      </c>
      <c r="P4" s="5" t="s">
        <v>79</v>
      </c>
      <c r="Q4" s="5" t="s">
        <v>80</v>
      </c>
      <c r="R4" s="5">
        <v>1</v>
      </c>
      <c r="S4" s="5" t="s">
        <v>81</v>
      </c>
      <c r="T4" s="5" t="s">
        <v>82</v>
      </c>
      <c r="U4" s="5" t="s">
        <v>83</v>
      </c>
      <c r="V4" s="5" t="s">
        <v>84</v>
      </c>
      <c r="W4" s="5" t="s">
        <v>98</v>
      </c>
      <c r="X4" s="5" t="s">
        <v>86</v>
      </c>
      <c r="Y4" s="5"/>
      <c r="Z4" s="5" t="s">
        <v>99</v>
      </c>
      <c r="AA4" s="5" t="s">
        <v>100</v>
      </c>
      <c r="AB4" s="5" t="s">
        <v>434</v>
      </c>
      <c r="AC4" s="5" t="s">
        <v>431</v>
      </c>
      <c r="AD4" s="5">
        <v>10.55</v>
      </c>
      <c r="AE4" s="5">
        <v>10.55</v>
      </c>
      <c r="AF4" s="5">
        <v>17.962</v>
      </c>
      <c r="AG4" s="5">
        <v>1</v>
      </c>
      <c r="AH4" s="5">
        <v>60</v>
      </c>
      <c r="AI4" s="5"/>
      <c r="AJ4" s="5" t="s">
        <v>434</v>
      </c>
      <c r="AK4" s="5" t="s">
        <v>431</v>
      </c>
      <c r="AL4" s="5">
        <v>23.32</v>
      </c>
      <c r="AM4" s="5">
        <v>23.32</v>
      </c>
      <c r="AN4" s="5">
        <v>25.263000000000002</v>
      </c>
      <c r="AO4" s="5">
        <v>1</v>
      </c>
      <c r="AP4" s="5">
        <v>62</v>
      </c>
      <c r="AQ4" s="5"/>
      <c r="AR4" s="5" t="s">
        <v>431</v>
      </c>
      <c r="AS4" s="5" t="s">
        <v>434</v>
      </c>
      <c r="AT4" s="5">
        <v>2.7509999999999999</v>
      </c>
      <c r="AU4" s="5">
        <v>2.7509999999999999</v>
      </c>
      <c r="AV4" s="5">
        <v>27.334</v>
      </c>
      <c r="AW4" s="5">
        <v>1</v>
      </c>
      <c r="AX4" s="5">
        <v>49</v>
      </c>
      <c r="AY4" s="5"/>
      <c r="AZ4" s="5" t="s">
        <v>431</v>
      </c>
      <c r="BA4" s="5" t="s">
        <v>434</v>
      </c>
      <c r="BB4" s="5">
        <v>12.231999999999999</v>
      </c>
      <c r="BC4" s="5">
        <v>12.231999999999999</v>
      </c>
      <c r="BD4" s="5">
        <v>15.25</v>
      </c>
      <c r="BE4" s="5">
        <v>1</v>
      </c>
      <c r="BF4" s="5">
        <v>57</v>
      </c>
      <c r="BG4" s="5"/>
      <c r="BH4" s="5" t="s">
        <v>431</v>
      </c>
      <c r="BI4" s="5" t="s">
        <v>431</v>
      </c>
      <c r="BJ4" s="5">
        <v>0.78700000000000003</v>
      </c>
      <c r="BK4" s="5">
        <v>0.78700000000000003</v>
      </c>
      <c r="BL4" s="5">
        <v>2.448</v>
      </c>
      <c r="BM4" s="5">
        <v>1</v>
      </c>
      <c r="BN4" s="5">
        <v>62</v>
      </c>
      <c r="BO4" s="5"/>
      <c r="BP4" s="5" t="s">
        <v>431</v>
      </c>
      <c r="BQ4" s="5" t="s">
        <v>431</v>
      </c>
      <c r="BR4" s="5">
        <v>1.391</v>
      </c>
      <c r="BS4" s="5">
        <v>1.391</v>
      </c>
      <c r="BT4" s="5">
        <v>2.637</v>
      </c>
      <c r="BU4" s="5">
        <v>1</v>
      </c>
      <c r="BV4" s="5">
        <v>59</v>
      </c>
      <c r="BW4" s="5"/>
      <c r="BX4" s="5" t="s">
        <v>431</v>
      </c>
      <c r="BY4" s="5" t="s">
        <v>434</v>
      </c>
      <c r="BZ4" s="5">
        <v>2.8239999999999998</v>
      </c>
      <c r="CA4" s="5">
        <v>2.8239999999999998</v>
      </c>
      <c r="CB4" s="5">
        <v>3.9260000000000002</v>
      </c>
      <c r="CC4" s="5">
        <v>1</v>
      </c>
      <c r="CD4" s="5">
        <v>56</v>
      </c>
      <c r="CE4" s="5"/>
      <c r="CF4" s="5" t="s">
        <v>431</v>
      </c>
      <c r="CG4" s="5" t="s">
        <v>434</v>
      </c>
      <c r="CH4" s="5">
        <v>2.9689999999999999</v>
      </c>
      <c r="CI4" s="5">
        <v>2.9689999999999999</v>
      </c>
      <c r="CJ4" s="5">
        <v>4.7949999999999999</v>
      </c>
      <c r="CK4" s="5">
        <v>1</v>
      </c>
      <c r="CL4" s="5">
        <v>59</v>
      </c>
      <c r="CM4" s="5"/>
      <c r="CN4" s="5" t="s">
        <v>248</v>
      </c>
      <c r="CO4" s="5" t="s">
        <v>249</v>
      </c>
      <c r="CP4" s="5" t="s">
        <v>250</v>
      </c>
      <c r="CQ4" s="5" t="s">
        <v>250</v>
      </c>
      <c r="CR4" s="5"/>
    </row>
    <row r="5" spans="1:96" x14ac:dyDescent="0.3">
      <c r="A5" s="4">
        <v>45607.509317129632</v>
      </c>
      <c r="B5" s="4">
        <v>45607.519525462965</v>
      </c>
      <c r="C5" s="5" t="s">
        <v>30</v>
      </c>
      <c r="D5" s="5" t="s">
        <v>124</v>
      </c>
      <c r="E5" s="5">
        <v>100</v>
      </c>
      <c r="F5" s="5">
        <v>881</v>
      </c>
      <c r="G5" s="5" t="b">
        <v>1</v>
      </c>
      <c r="H5" s="4">
        <v>45607.519525462965</v>
      </c>
      <c r="I5" s="5" t="s">
        <v>125</v>
      </c>
      <c r="J5" s="5"/>
      <c r="K5" s="5"/>
      <c r="L5" s="5"/>
      <c r="M5" s="5"/>
      <c r="N5" s="5">
        <v>42.2821</v>
      </c>
      <c r="O5" s="5">
        <v>-71.8262</v>
      </c>
      <c r="P5" s="5" t="s">
        <v>79</v>
      </c>
      <c r="Q5" s="5" t="s">
        <v>80</v>
      </c>
      <c r="R5" s="5">
        <v>1</v>
      </c>
      <c r="S5" s="5" t="s">
        <v>103</v>
      </c>
      <c r="T5" s="5">
        <v>131</v>
      </c>
      <c r="U5" s="5" t="s">
        <v>126</v>
      </c>
      <c r="V5" s="5" t="s">
        <v>127</v>
      </c>
      <c r="W5" s="5" t="s">
        <v>98</v>
      </c>
      <c r="X5" s="5" t="s">
        <v>128</v>
      </c>
      <c r="Y5" s="5"/>
      <c r="Z5" s="5" t="s">
        <v>87</v>
      </c>
      <c r="AA5" s="5" t="s">
        <v>113</v>
      </c>
      <c r="AB5" s="5" t="s">
        <v>434</v>
      </c>
      <c r="AC5" s="5" t="s">
        <v>431</v>
      </c>
      <c r="AD5" s="5">
        <v>35.167000000000002</v>
      </c>
      <c r="AE5" s="5">
        <v>35.167000000000002</v>
      </c>
      <c r="AF5" s="5">
        <v>36.396000000000001</v>
      </c>
      <c r="AG5" s="5">
        <v>1</v>
      </c>
      <c r="AH5" s="5">
        <v>75</v>
      </c>
      <c r="AI5" s="5" t="s">
        <v>837</v>
      </c>
      <c r="AJ5" s="5" t="s">
        <v>434</v>
      </c>
      <c r="AK5" s="5" t="s">
        <v>431</v>
      </c>
      <c r="AL5" s="5">
        <v>47.744999999999997</v>
      </c>
      <c r="AM5" s="5">
        <v>47.744999999999997</v>
      </c>
      <c r="AN5" s="5">
        <v>48.816000000000003</v>
      </c>
      <c r="AO5" s="5">
        <v>1</v>
      </c>
      <c r="AP5" s="5">
        <v>60</v>
      </c>
      <c r="AQ5" s="5" t="s">
        <v>838</v>
      </c>
      <c r="AR5" s="5" t="s">
        <v>431</v>
      </c>
      <c r="AS5" s="5" t="s">
        <v>434</v>
      </c>
      <c r="AT5" s="5">
        <v>66.558999999999997</v>
      </c>
      <c r="AU5" s="5">
        <v>66.558999999999997</v>
      </c>
      <c r="AV5" s="5">
        <v>67.387</v>
      </c>
      <c r="AW5" s="5">
        <v>1</v>
      </c>
      <c r="AX5" s="5">
        <v>35</v>
      </c>
      <c r="AY5" s="5" t="s">
        <v>839</v>
      </c>
      <c r="AZ5" s="5" t="s">
        <v>434</v>
      </c>
      <c r="BA5" s="5" t="s">
        <v>434</v>
      </c>
      <c r="BB5" s="5">
        <v>56.61</v>
      </c>
      <c r="BC5" s="5">
        <v>57.689</v>
      </c>
      <c r="BD5" s="5">
        <v>58.154000000000003</v>
      </c>
      <c r="BE5" s="5">
        <v>2</v>
      </c>
      <c r="BF5" s="5">
        <v>25</v>
      </c>
      <c r="BG5" s="5"/>
      <c r="BH5" s="5" t="s">
        <v>431</v>
      </c>
      <c r="BI5" s="5" t="s">
        <v>431</v>
      </c>
      <c r="BJ5" s="5">
        <v>21.32</v>
      </c>
      <c r="BK5" s="5">
        <v>84.286000000000001</v>
      </c>
      <c r="BL5" s="5">
        <v>94.094999999999999</v>
      </c>
      <c r="BM5" s="5">
        <v>2</v>
      </c>
      <c r="BN5" s="5">
        <v>71</v>
      </c>
      <c r="BO5" s="5" t="s">
        <v>840</v>
      </c>
      <c r="BP5" s="5" t="s">
        <v>431</v>
      </c>
      <c r="BQ5" s="5" t="s">
        <v>431</v>
      </c>
      <c r="BR5" s="5">
        <v>57.081000000000003</v>
      </c>
      <c r="BS5" s="5">
        <v>57.081000000000003</v>
      </c>
      <c r="BT5" s="5">
        <v>63.526000000000003</v>
      </c>
      <c r="BU5" s="5">
        <v>1</v>
      </c>
      <c r="BV5" s="5">
        <v>75</v>
      </c>
      <c r="BW5" s="5" t="s">
        <v>841</v>
      </c>
      <c r="BX5" s="5" t="s">
        <v>434</v>
      </c>
      <c r="BY5" s="5" t="s">
        <v>434</v>
      </c>
      <c r="BZ5" s="5">
        <v>16.372</v>
      </c>
      <c r="CA5" s="5">
        <v>16.372</v>
      </c>
      <c r="CB5" s="5">
        <v>19.376000000000001</v>
      </c>
      <c r="CC5" s="5">
        <v>1</v>
      </c>
      <c r="CD5" s="5">
        <v>100</v>
      </c>
      <c r="CE5" s="5" t="s">
        <v>842</v>
      </c>
      <c r="CF5" s="5" t="s">
        <v>434</v>
      </c>
      <c r="CG5" s="5" t="s">
        <v>434</v>
      </c>
      <c r="CH5" s="5">
        <v>23.983000000000001</v>
      </c>
      <c r="CI5" s="5">
        <v>23.983000000000001</v>
      </c>
      <c r="CJ5" s="5">
        <v>35.042999999999999</v>
      </c>
      <c r="CK5" s="5">
        <v>1</v>
      </c>
      <c r="CL5" s="5">
        <v>100</v>
      </c>
      <c r="CM5" s="5"/>
      <c r="CN5" s="5" t="s">
        <v>244</v>
      </c>
      <c r="CO5" s="5" t="s">
        <v>244</v>
      </c>
      <c r="CP5" s="5" t="s">
        <v>244</v>
      </c>
      <c r="CQ5" s="5" t="s">
        <v>257</v>
      </c>
      <c r="CR5" s="5"/>
    </row>
    <row r="6" spans="1:96" x14ac:dyDescent="0.3">
      <c r="A6" s="4">
        <v>45607.485150462962</v>
      </c>
      <c r="B6" s="4">
        <v>45607.580092592594</v>
      </c>
      <c r="C6" s="5" t="s">
        <v>30</v>
      </c>
      <c r="D6" s="5" t="s">
        <v>142</v>
      </c>
      <c r="E6" s="5">
        <v>100</v>
      </c>
      <c r="F6" s="5">
        <v>8202</v>
      </c>
      <c r="G6" s="5" t="b">
        <v>1</v>
      </c>
      <c r="H6" s="4">
        <v>45607.580104166664</v>
      </c>
      <c r="I6" s="5" t="s">
        <v>143</v>
      </c>
      <c r="J6" s="5"/>
      <c r="K6" s="5"/>
      <c r="L6" s="5"/>
      <c r="M6" s="5"/>
      <c r="N6" s="5">
        <v>42.247399999999999</v>
      </c>
      <c r="O6" s="5">
        <v>-71.806899999999999</v>
      </c>
      <c r="P6" s="5" t="s">
        <v>79</v>
      </c>
      <c r="Q6" s="5" t="s">
        <v>80</v>
      </c>
      <c r="R6" s="5">
        <v>1</v>
      </c>
      <c r="S6" s="5" t="s">
        <v>116</v>
      </c>
      <c r="T6" s="5" t="s">
        <v>82</v>
      </c>
      <c r="U6" s="5" t="s">
        <v>83</v>
      </c>
      <c r="V6" s="5" t="s">
        <v>144</v>
      </c>
      <c r="W6" s="5" t="s">
        <v>98</v>
      </c>
      <c r="X6" s="5" t="s">
        <v>86</v>
      </c>
      <c r="Y6" s="5"/>
      <c r="Z6" s="5" t="s">
        <v>99</v>
      </c>
      <c r="AA6" s="5" t="s">
        <v>113</v>
      </c>
      <c r="AB6" s="5" t="s">
        <v>434</v>
      </c>
      <c r="AC6" s="5" t="s">
        <v>431</v>
      </c>
      <c r="AD6" s="5">
        <v>106.578</v>
      </c>
      <c r="AE6" s="5">
        <v>106.578</v>
      </c>
      <c r="AF6" s="5">
        <v>109.18</v>
      </c>
      <c r="AG6" s="5">
        <v>1</v>
      </c>
      <c r="AH6" s="5">
        <v>94</v>
      </c>
      <c r="AI6" s="5" t="s">
        <v>843</v>
      </c>
      <c r="AJ6" s="5" t="s">
        <v>434</v>
      </c>
      <c r="AK6" s="5" t="s">
        <v>431</v>
      </c>
      <c r="AL6" s="5">
        <v>117.706</v>
      </c>
      <c r="AM6" s="5">
        <v>117.706</v>
      </c>
      <c r="AN6" s="5">
        <v>133.82499999999999</v>
      </c>
      <c r="AO6" s="5">
        <v>1</v>
      </c>
      <c r="AP6" s="5">
        <v>90</v>
      </c>
      <c r="AQ6" s="5" t="s">
        <v>844</v>
      </c>
      <c r="AR6" s="5" t="s">
        <v>431</v>
      </c>
      <c r="AS6" s="5" t="s">
        <v>434</v>
      </c>
      <c r="AT6" s="5">
        <v>216.38399999999999</v>
      </c>
      <c r="AU6" s="5">
        <v>216.38399999999999</v>
      </c>
      <c r="AV6" s="5">
        <v>226.43600000000001</v>
      </c>
      <c r="AW6" s="5">
        <v>1</v>
      </c>
      <c r="AX6" s="5">
        <v>75</v>
      </c>
      <c r="AY6" s="5" t="s">
        <v>845</v>
      </c>
      <c r="AZ6" s="5" t="s">
        <v>434</v>
      </c>
      <c r="BA6" s="5" t="s">
        <v>434</v>
      </c>
      <c r="BB6" s="5">
        <v>71.998999999999995</v>
      </c>
      <c r="BC6" s="5">
        <v>74.402000000000001</v>
      </c>
      <c r="BD6" s="5">
        <v>75.117999999999995</v>
      </c>
      <c r="BE6" s="5">
        <v>2</v>
      </c>
      <c r="BF6" s="5">
        <v>75</v>
      </c>
      <c r="BG6" s="5" t="s">
        <v>846</v>
      </c>
      <c r="BH6" s="5" t="s">
        <v>431</v>
      </c>
      <c r="BI6" s="5" t="s">
        <v>431</v>
      </c>
      <c r="BJ6" s="5">
        <v>51.472999999999999</v>
      </c>
      <c r="BK6" s="5">
        <v>51.472999999999999</v>
      </c>
      <c r="BL6" s="5">
        <v>54.768000000000001</v>
      </c>
      <c r="BM6" s="5">
        <v>1</v>
      </c>
      <c r="BN6" s="5">
        <v>80</v>
      </c>
      <c r="BO6" s="5" t="s">
        <v>847</v>
      </c>
      <c r="BP6" s="5" t="s">
        <v>431</v>
      </c>
      <c r="BQ6" s="5" t="s">
        <v>431</v>
      </c>
      <c r="BR6" s="5">
        <v>38.274999999999999</v>
      </c>
      <c r="BS6" s="5">
        <v>38.274999999999999</v>
      </c>
      <c r="BT6" s="5">
        <v>40.790999999999997</v>
      </c>
      <c r="BU6" s="5">
        <v>1</v>
      </c>
      <c r="BV6" s="5">
        <v>80</v>
      </c>
      <c r="BW6" s="5" t="s">
        <v>848</v>
      </c>
      <c r="BX6" s="5" t="s">
        <v>434</v>
      </c>
      <c r="BY6" s="5" t="s">
        <v>434</v>
      </c>
      <c r="BZ6" s="5">
        <v>109.866</v>
      </c>
      <c r="CA6" s="5">
        <v>109.866</v>
      </c>
      <c r="CB6" s="5">
        <v>115.205</v>
      </c>
      <c r="CC6" s="5">
        <v>1</v>
      </c>
      <c r="CD6" s="5">
        <v>80</v>
      </c>
      <c r="CE6" s="5" t="s">
        <v>849</v>
      </c>
      <c r="CF6" s="5" t="s">
        <v>434</v>
      </c>
      <c r="CG6" s="5" t="s">
        <v>434</v>
      </c>
      <c r="CH6" s="5">
        <v>74.703000000000003</v>
      </c>
      <c r="CI6" s="5">
        <v>74.703000000000003</v>
      </c>
      <c r="CJ6" s="5">
        <v>77.099000000000004</v>
      </c>
      <c r="CK6" s="5">
        <v>1</v>
      </c>
      <c r="CL6" s="5">
        <v>86</v>
      </c>
      <c r="CM6" s="5" t="s">
        <v>850</v>
      </c>
      <c r="CN6" s="5" t="s">
        <v>269</v>
      </c>
      <c r="CO6" s="5" t="s">
        <v>270</v>
      </c>
      <c r="CP6" s="5" t="s">
        <v>271</v>
      </c>
      <c r="CQ6" s="5" t="s">
        <v>272</v>
      </c>
      <c r="CR6" s="5"/>
    </row>
    <row r="7" spans="1:96" x14ac:dyDescent="0.3">
      <c r="A7" s="4">
        <v>45607.588796296295</v>
      </c>
      <c r="B7" s="4">
        <v>45607.607847222222</v>
      </c>
      <c r="C7" s="5" t="s">
        <v>30</v>
      </c>
      <c r="D7" s="5" t="s">
        <v>147</v>
      </c>
      <c r="E7" s="5">
        <v>100</v>
      </c>
      <c r="F7" s="5">
        <v>1646</v>
      </c>
      <c r="G7" s="5" t="b">
        <v>1</v>
      </c>
      <c r="H7" s="4">
        <v>45607.607858796298</v>
      </c>
      <c r="I7" s="5" t="s">
        <v>148</v>
      </c>
      <c r="J7" s="5"/>
      <c r="K7" s="5"/>
      <c r="L7" s="5"/>
      <c r="M7" s="5"/>
      <c r="N7" s="5">
        <v>42.2821</v>
      </c>
      <c r="O7" s="5">
        <v>-71.8262</v>
      </c>
      <c r="P7" s="5" t="s">
        <v>79</v>
      </c>
      <c r="Q7" s="5" t="s">
        <v>80</v>
      </c>
      <c r="R7" s="5">
        <v>1</v>
      </c>
      <c r="S7" s="5" t="s">
        <v>91</v>
      </c>
      <c r="T7" s="5">
        <v>17.600000000000001</v>
      </c>
      <c r="U7" s="5" t="s">
        <v>93</v>
      </c>
      <c r="V7" s="5" t="s">
        <v>127</v>
      </c>
      <c r="W7" s="5" t="s">
        <v>85</v>
      </c>
      <c r="X7" s="5" t="s">
        <v>86</v>
      </c>
      <c r="Y7" s="5"/>
      <c r="Z7" s="5" t="s">
        <v>118</v>
      </c>
      <c r="AA7" s="5" t="s">
        <v>113</v>
      </c>
      <c r="AB7" s="5" t="s">
        <v>434</v>
      </c>
      <c r="AC7" s="5" t="s">
        <v>431</v>
      </c>
      <c r="AD7" s="5">
        <v>12.37</v>
      </c>
      <c r="AE7" s="5">
        <v>28.54</v>
      </c>
      <c r="AF7" s="5">
        <v>30.378</v>
      </c>
      <c r="AG7" s="5">
        <v>4</v>
      </c>
      <c r="AH7" s="5">
        <v>62</v>
      </c>
      <c r="AI7" s="5" t="s">
        <v>851</v>
      </c>
      <c r="AJ7" s="5" t="s">
        <v>431</v>
      </c>
      <c r="AK7" s="5" t="s">
        <v>431</v>
      </c>
      <c r="AL7" s="5">
        <v>35.835999999999999</v>
      </c>
      <c r="AM7" s="5">
        <v>35.835999999999999</v>
      </c>
      <c r="AN7" s="5">
        <v>37.061999999999998</v>
      </c>
      <c r="AO7" s="5">
        <v>1</v>
      </c>
      <c r="AP7" s="5">
        <v>71</v>
      </c>
      <c r="AQ7" s="5" t="s">
        <v>852</v>
      </c>
      <c r="AR7" s="5" t="s">
        <v>431</v>
      </c>
      <c r="AS7" s="5" t="s">
        <v>434</v>
      </c>
      <c r="AT7" s="5">
        <v>14.429</v>
      </c>
      <c r="AU7" s="5">
        <v>14.429</v>
      </c>
      <c r="AV7" s="5">
        <v>18.09</v>
      </c>
      <c r="AW7" s="5">
        <v>1</v>
      </c>
      <c r="AX7" s="5">
        <v>61</v>
      </c>
      <c r="AY7" s="5" t="s">
        <v>853</v>
      </c>
      <c r="AZ7" s="5" t="s">
        <v>434</v>
      </c>
      <c r="BA7" s="5" t="s">
        <v>434</v>
      </c>
      <c r="BB7" s="5">
        <v>19.245999999999999</v>
      </c>
      <c r="BC7" s="5">
        <v>37.53</v>
      </c>
      <c r="BD7" s="5">
        <v>38.921999999999997</v>
      </c>
      <c r="BE7" s="5">
        <v>3</v>
      </c>
      <c r="BF7" s="5">
        <v>70</v>
      </c>
      <c r="BG7" s="5" t="s">
        <v>854</v>
      </c>
      <c r="BH7" s="5" t="s">
        <v>434</v>
      </c>
      <c r="BI7" s="5" t="s">
        <v>431</v>
      </c>
      <c r="BJ7" s="5">
        <v>34.314999999999998</v>
      </c>
      <c r="BK7" s="5">
        <v>34.845999999999997</v>
      </c>
      <c r="BL7" s="5">
        <v>36.122</v>
      </c>
      <c r="BM7" s="5">
        <v>2</v>
      </c>
      <c r="BN7" s="5">
        <v>0</v>
      </c>
      <c r="BO7" s="5" t="s">
        <v>855</v>
      </c>
      <c r="BP7" s="5" t="s">
        <v>431</v>
      </c>
      <c r="BQ7" s="5" t="s">
        <v>431</v>
      </c>
      <c r="BR7" s="5">
        <v>2.657</v>
      </c>
      <c r="BS7" s="5">
        <v>12.138</v>
      </c>
      <c r="BT7" s="5">
        <v>20.600999999999999</v>
      </c>
      <c r="BU7" s="5">
        <v>2</v>
      </c>
      <c r="BV7" s="5">
        <v>84</v>
      </c>
      <c r="BW7" s="5" t="s">
        <v>856</v>
      </c>
      <c r="BX7" s="5" t="s">
        <v>434</v>
      </c>
      <c r="BY7" s="5" t="s">
        <v>434</v>
      </c>
      <c r="BZ7" s="5">
        <v>64.106999999999999</v>
      </c>
      <c r="CA7" s="5">
        <v>64.106999999999999</v>
      </c>
      <c r="CB7" s="5">
        <v>65.356999999999999</v>
      </c>
      <c r="CC7" s="5">
        <v>1</v>
      </c>
      <c r="CD7" s="5">
        <v>81</v>
      </c>
      <c r="CE7" s="5" t="s">
        <v>857</v>
      </c>
      <c r="CF7" s="5" t="s">
        <v>431</v>
      </c>
      <c r="CG7" s="5" t="s">
        <v>434</v>
      </c>
      <c r="CH7" s="5">
        <v>27.46</v>
      </c>
      <c r="CI7" s="5">
        <v>27.46</v>
      </c>
      <c r="CJ7" s="5">
        <v>29.074000000000002</v>
      </c>
      <c r="CK7" s="5">
        <v>1</v>
      </c>
      <c r="CL7" s="5">
        <v>61</v>
      </c>
      <c r="CM7" s="5" t="s">
        <v>858</v>
      </c>
      <c r="CN7" s="5" t="s">
        <v>277</v>
      </c>
      <c r="CO7" s="5" t="s">
        <v>244</v>
      </c>
      <c r="CP7" s="5" t="s">
        <v>278</v>
      </c>
      <c r="CQ7" s="5" t="s">
        <v>278</v>
      </c>
      <c r="CR7" s="5"/>
    </row>
    <row r="8" spans="1:96" x14ac:dyDescent="0.3">
      <c r="A8" s="4">
        <v>45607.801261574074</v>
      </c>
      <c r="B8" s="4">
        <v>45607.818761574075</v>
      </c>
      <c r="C8" s="5" t="s">
        <v>30</v>
      </c>
      <c r="D8" s="5" t="s">
        <v>156</v>
      </c>
      <c r="E8" s="5">
        <v>100</v>
      </c>
      <c r="F8" s="5">
        <v>1511</v>
      </c>
      <c r="G8" s="5" t="b">
        <v>1</v>
      </c>
      <c r="H8" s="4">
        <v>45607.818773148145</v>
      </c>
      <c r="I8" s="5" t="s">
        <v>157</v>
      </c>
      <c r="J8" s="5"/>
      <c r="K8" s="5"/>
      <c r="L8" s="5"/>
      <c r="M8" s="5"/>
      <c r="N8" s="5">
        <v>42.247399999999999</v>
      </c>
      <c r="O8" s="5">
        <v>-71.806899999999999</v>
      </c>
      <c r="P8" s="5" t="s">
        <v>79</v>
      </c>
      <c r="Q8" s="5" t="s">
        <v>80</v>
      </c>
      <c r="R8" s="5">
        <v>1</v>
      </c>
      <c r="S8" s="5" t="s">
        <v>116</v>
      </c>
      <c r="T8" s="5" t="s">
        <v>82</v>
      </c>
      <c r="U8" s="5" t="s">
        <v>126</v>
      </c>
      <c r="V8" s="5" t="s">
        <v>158</v>
      </c>
      <c r="W8" s="5" t="s">
        <v>98</v>
      </c>
      <c r="X8" s="5" t="s">
        <v>86</v>
      </c>
      <c r="Y8" s="5"/>
      <c r="Z8" s="5" t="s">
        <v>140</v>
      </c>
      <c r="AA8" s="5" t="s">
        <v>159</v>
      </c>
      <c r="AB8" s="5" t="s">
        <v>434</v>
      </c>
      <c r="AC8" s="5" t="s">
        <v>431</v>
      </c>
      <c r="AD8" s="5">
        <v>170.91900000000001</v>
      </c>
      <c r="AE8" s="5">
        <v>170.91900000000001</v>
      </c>
      <c r="AF8" s="5">
        <v>172.38499999999999</v>
      </c>
      <c r="AG8" s="5">
        <v>1</v>
      </c>
      <c r="AH8" s="5">
        <v>61</v>
      </c>
      <c r="AI8" s="5" t="s">
        <v>859</v>
      </c>
      <c r="AJ8" s="5" t="s">
        <v>434</v>
      </c>
      <c r="AK8" s="5" t="s">
        <v>431</v>
      </c>
      <c r="AL8" s="5">
        <v>55.561</v>
      </c>
      <c r="AM8" s="5">
        <v>55.561</v>
      </c>
      <c r="AN8" s="5">
        <v>62.557000000000002</v>
      </c>
      <c r="AO8" s="5">
        <v>1</v>
      </c>
      <c r="AP8" s="5">
        <v>30</v>
      </c>
      <c r="AQ8" s="5" t="s">
        <v>860</v>
      </c>
      <c r="AR8" s="5" t="s">
        <v>434</v>
      </c>
      <c r="AS8" s="5" t="s">
        <v>434</v>
      </c>
      <c r="AT8" s="5">
        <v>61.040999999999997</v>
      </c>
      <c r="AU8" s="5">
        <v>61.040999999999997</v>
      </c>
      <c r="AV8" s="5">
        <v>65.096999999999994</v>
      </c>
      <c r="AW8" s="5">
        <v>1</v>
      </c>
      <c r="AX8" s="5">
        <v>28</v>
      </c>
      <c r="AY8" s="5" t="s">
        <v>861</v>
      </c>
      <c r="AZ8" s="5" t="s">
        <v>431</v>
      </c>
      <c r="BA8" s="5" t="s">
        <v>434</v>
      </c>
      <c r="BB8" s="5">
        <v>13.837</v>
      </c>
      <c r="BC8" s="5">
        <v>104.63200000000001</v>
      </c>
      <c r="BD8" s="5">
        <v>111.3</v>
      </c>
      <c r="BE8" s="5">
        <v>2</v>
      </c>
      <c r="BF8" s="5">
        <v>54</v>
      </c>
      <c r="BG8" s="5" t="s">
        <v>862</v>
      </c>
      <c r="BH8" s="5" t="s">
        <v>431</v>
      </c>
      <c r="BI8" s="5" t="s">
        <v>431</v>
      </c>
      <c r="BJ8" s="5">
        <v>45.284999999999997</v>
      </c>
      <c r="BK8" s="5">
        <v>45.284999999999997</v>
      </c>
      <c r="BL8" s="5">
        <v>46.642000000000003</v>
      </c>
      <c r="BM8" s="5">
        <v>1</v>
      </c>
      <c r="BN8" s="5">
        <v>52</v>
      </c>
      <c r="BO8" s="5" t="s">
        <v>863</v>
      </c>
      <c r="BP8" s="5" t="s">
        <v>434</v>
      </c>
      <c r="BQ8" s="5" t="s">
        <v>431</v>
      </c>
      <c r="BR8" s="5">
        <v>29.370999999999999</v>
      </c>
      <c r="BS8" s="5">
        <v>37.183</v>
      </c>
      <c r="BT8" s="5">
        <v>40.1</v>
      </c>
      <c r="BU8" s="5">
        <v>2</v>
      </c>
      <c r="BV8" s="5">
        <v>55</v>
      </c>
      <c r="BW8" s="5" t="s">
        <v>864</v>
      </c>
      <c r="BX8" s="5" t="s">
        <v>431</v>
      </c>
      <c r="BY8" s="5" t="s">
        <v>434</v>
      </c>
      <c r="BZ8" s="5">
        <v>29.837</v>
      </c>
      <c r="CA8" s="5">
        <v>29.837</v>
      </c>
      <c r="CB8" s="5">
        <v>31.265000000000001</v>
      </c>
      <c r="CC8" s="5">
        <v>1</v>
      </c>
      <c r="CD8" s="5">
        <v>51</v>
      </c>
      <c r="CE8" s="5" t="s">
        <v>865</v>
      </c>
      <c r="CF8" s="5" t="s">
        <v>431</v>
      </c>
      <c r="CG8" s="5" t="s">
        <v>434</v>
      </c>
      <c r="CH8" s="5">
        <v>8.85</v>
      </c>
      <c r="CI8" s="5">
        <v>36.139000000000003</v>
      </c>
      <c r="CJ8" s="5">
        <v>38.231000000000002</v>
      </c>
      <c r="CK8" s="5">
        <v>7</v>
      </c>
      <c r="CL8" s="5">
        <v>58</v>
      </c>
      <c r="CM8" s="5" t="s">
        <v>866</v>
      </c>
      <c r="CN8" s="5" t="s">
        <v>244</v>
      </c>
      <c r="CO8" s="5" t="s">
        <v>279</v>
      </c>
      <c r="CP8" s="5" t="s">
        <v>255</v>
      </c>
      <c r="CQ8" s="5" t="s">
        <v>260</v>
      </c>
      <c r="CR8" s="5"/>
    </row>
    <row r="9" spans="1:96" x14ac:dyDescent="0.3">
      <c r="A9" s="4">
        <v>45608.414467592593</v>
      </c>
      <c r="B9" s="4">
        <v>45608.430810185186</v>
      </c>
      <c r="C9" s="5" t="s">
        <v>30</v>
      </c>
      <c r="D9" s="5" t="s">
        <v>166</v>
      </c>
      <c r="E9" s="5">
        <v>100</v>
      </c>
      <c r="F9" s="5">
        <v>1412</v>
      </c>
      <c r="G9" s="5" t="b">
        <v>1</v>
      </c>
      <c r="H9" s="4">
        <v>45608.430821759262</v>
      </c>
      <c r="I9" s="5" t="s">
        <v>167</v>
      </c>
      <c r="J9" s="5"/>
      <c r="K9" s="5"/>
      <c r="L9" s="5"/>
      <c r="M9" s="5"/>
      <c r="N9" s="5">
        <v>42.2821</v>
      </c>
      <c r="O9" s="5">
        <v>-71.8262</v>
      </c>
      <c r="P9" s="5" t="s">
        <v>79</v>
      </c>
      <c r="Q9" s="5" t="s">
        <v>80</v>
      </c>
      <c r="R9" s="5">
        <v>1</v>
      </c>
      <c r="S9" s="5" t="s">
        <v>81</v>
      </c>
      <c r="T9" s="5" t="s">
        <v>82</v>
      </c>
      <c r="U9" s="5" t="s">
        <v>83</v>
      </c>
      <c r="V9" s="5" t="s">
        <v>84</v>
      </c>
      <c r="W9" s="5" t="s">
        <v>85</v>
      </c>
      <c r="X9" s="5" t="s">
        <v>95</v>
      </c>
      <c r="Y9" s="5"/>
      <c r="Z9" s="5" t="s">
        <v>118</v>
      </c>
      <c r="AA9" s="5" t="s">
        <v>88</v>
      </c>
      <c r="AB9" s="5" t="s">
        <v>431</v>
      </c>
      <c r="AC9" s="5" t="s">
        <v>431</v>
      </c>
      <c r="AD9" s="5">
        <v>117.27</v>
      </c>
      <c r="AE9" s="5">
        <v>117.27</v>
      </c>
      <c r="AF9" s="5">
        <v>118.508</v>
      </c>
      <c r="AG9" s="5">
        <v>1</v>
      </c>
      <c r="AH9" s="5">
        <v>80</v>
      </c>
      <c r="AI9" s="5" t="s">
        <v>867</v>
      </c>
      <c r="AJ9" s="5" t="s">
        <v>431</v>
      </c>
      <c r="AK9" s="5" t="s">
        <v>431</v>
      </c>
      <c r="AL9" s="5">
        <v>131.49199999999999</v>
      </c>
      <c r="AM9" s="5">
        <v>131.49199999999999</v>
      </c>
      <c r="AN9" s="5">
        <v>133.995</v>
      </c>
      <c r="AO9" s="5">
        <v>1</v>
      </c>
      <c r="AP9" s="5">
        <v>70</v>
      </c>
      <c r="AQ9" s="5" t="s">
        <v>868</v>
      </c>
      <c r="AR9" s="5" t="s">
        <v>434</v>
      </c>
      <c r="AS9" s="5" t="s">
        <v>434</v>
      </c>
      <c r="AT9" s="5">
        <v>104.96899999999999</v>
      </c>
      <c r="AU9" s="5">
        <v>104.96899999999999</v>
      </c>
      <c r="AV9" s="5">
        <v>110.56</v>
      </c>
      <c r="AW9" s="5">
        <v>1</v>
      </c>
      <c r="AX9" s="5">
        <v>70</v>
      </c>
      <c r="AY9" s="5"/>
      <c r="AZ9" s="5" t="s">
        <v>434</v>
      </c>
      <c r="BA9" s="5" t="s">
        <v>434</v>
      </c>
      <c r="BB9" s="5">
        <v>47.292999999999999</v>
      </c>
      <c r="BC9" s="5">
        <v>47.292999999999999</v>
      </c>
      <c r="BD9" s="5">
        <v>49.262999999999998</v>
      </c>
      <c r="BE9" s="5">
        <v>1</v>
      </c>
      <c r="BF9" s="5">
        <v>80</v>
      </c>
      <c r="BG9" s="5" t="s">
        <v>869</v>
      </c>
      <c r="BH9" s="5" t="s">
        <v>434</v>
      </c>
      <c r="BI9" s="5" t="s">
        <v>431</v>
      </c>
      <c r="BJ9" s="5">
        <v>106.874</v>
      </c>
      <c r="BK9" s="5">
        <v>106.874</v>
      </c>
      <c r="BL9" s="5">
        <v>110.10299999999999</v>
      </c>
      <c r="BM9" s="5">
        <v>1</v>
      </c>
      <c r="BN9" s="5">
        <v>60</v>
      </c>
      <c r="BO9" s="5"/>
      <c r="BP9" s="5" t="s">
        <v>434</v>
      </c>
      <c r="BQ9" s="5" t="s">
        <v>431</v>
      </c>
      <c r="BR9" s="5">
        <v>103.751</v>
      </c>
      <c r="BS9" s="5">
        <v>103.751</v>
      </c>
      <c r="BT9" s="5">
        <v>105.762</v>
      </c>
      <c r="BU9" s="5">
        <v>1</v>
      </c>
      <c r="BV9" s="5">
        <v>80</v>
      </c>
      <c r="BW9" s="5" t="s">
        <v>870</v>
      </c>
      <c r="BX9" s="5" t="s">
        <v>434</v>
      </c>
      <c r="BY9" s="5" t="s">
        <v>434</v>
      </c>
      <c r="BZ9" s="5">
        <v>31.225999999999999</v>
      </c>
      <c r="CA9" s="5">
        <v>31.225999999999999</v>
      </c>
      <c r="CB9" s="5">
        <v>32.862000000000002</v>
      </c>
      <c r="CC9" s="5">
        <v>1</v>
      </c>
      <c r="CD9" s="5">
        <v>80</v>
      </c>
      <c r="CE9" s="5" t="s">
        <v>871</v>
      </c>
      <c r="CF9" s="5" t="s">
        <v>434</v>
      </c>
      <c r="CG9" s="5" t="s">
        <v>434</v>
      </c>
      <c r="CH9" s="5">
        <v>91.076999999999998</v>
      </c>
      <c r="CI9" s="5">
        <v>91.076999999999998</v>
      </c>
      <c r="CJ9" s="5">
        <v>104.57</v>
      </c>
      <c r="CK9" s="5">
        <v>1</v>
      </c>
      <c r="CL9" s="5">
        <v>70</v>
      </c>
      <c r="CM9" s="5"/>
      <c r="CN9" s="5" t="s">
        <v>247</v>
      </c>
      <c r="CO9" s="5" t="s">
        <v>244</v>
      </c>
      <c r="CP9" s="5" t="s">
        <v>247</v>
      </c>
      <c r="CQ9" s="5" t="s">
        <v>279</v>
      </c>
      <c r="CR9" s="5"/>
    </row>
    <row r="10" spans="1:96" x14ac:dyDescent="0.3">
      <c r="A10" s="4">
        <v>45608.557615740741</v>
      </c>
      <c r="B10" s="4">
        <v>45608.563437500001</v>
      </c>
      <c r="C10" s="5" t="s">
        <v>30</v>
      </c>
      <c r="D10" s="5" t="s">
        <v>132</v>
      </c>
      <c r="E10" s="5">
        <v>100</v>
      </c>
      <c r="F10" s="5">
        <v>502</v>
      </c>
      <c r="G10" s="5" t="b">
        <v>1</v>
      </c>
      <c r="H10" s="4">
        <v>45608.563437500001</v>
      </c>
      <c r="I10" s="5" t="s">
        <v>179</v>
      </c>
      <c r="J10" s="5"/>
      <c r="K10" s="5"/>
      <c r="L10" s="5"/>
      <c r="M10" s="5"/>
      <c r="N10" s="5">
        <v>42.247399999999999</v>
      </c>
      <c r="O10" s="5">
        <v>-71.806899999999999</v>
      </c>
      <c r="P10" s="5" t="s">
        <v>79</v>
      </c>
      <c r="Q10" s="5" t="s">
        <v>80</v>
      </c>
      <c r="R10" s="5">
        <v>1</v>
      </c>
      <c r="S10" s="5" t="s">
        <v>106</v>
      </c>
      <c r="T10" s="5">
        <v>18.100000000000001</v>
      </c>
      <c r="U10" s="5" t="s">
        <v>108</v>
      </c>
      <c r="V10" s="5" t="s">
        <v>180</v>
      </c>
      <c r="W10" s="5" t="s">
        <v>98</v>
      </c>
      <c r="X10" s="5" t="s">
        <v>95</v>
      </c>
      <c r="Y10" s="5"/>
      <c r="Z10" s="5" t="s">
        <v>99</v>
      </c>
      <c r="AA10" s="5" t="s">
        <v>181</v>
      </c>
      <c r="AB10" s="5" t="s">
        <v>431</v>
      </c>
      <c r="AC10" s="5" t="s">
        <v>431</v>
      </c>
      <c r="AD10" s="5">
        <v>0.93200000000000005</v>
      </c>
      <c r="AE10" s="5">
        <v>9.3640000000000008</v>
      </c>
      <c r="AF10" s="5">
        <v>10.885999999999999</v>
      </c>
      <c r="AG10" s="5">
        <v>7</v>
      </c>
      <c r="AH10" s="5">
        <v>64</v>
      </c>
      <c r="AI10" s="5" t="s">
        <v>872</v>
      </c>
      <c r="AJ10" s="5" t="s">
        <v>434</v>
      </c>
      <c r="AK10" s="5" t="s">
        <v>431</v>
      </c>
      <c r="AL10" s="5">
        <v>13.835000000000001</v>
      </c>
      <c r="AM10" s="5">
        <v>14.618</v>
      </c>
      <c r="AN10" s="5">
        <v>15.555999999999999</v>
      </c>
      <c r="AO10" s="5">
        <v>2</v>
      </c>
      <c r="AP10" s="5">
        <v>96</v>
      </c>
      <c r="AQ10" s="5" t="s">
        <v>873</v>
      </c>
      <c r="AR10" s="5" t="s">
        <v>434</v>
      </c>
      <c r="AS10" s="5" t="s">
        <v>434</v>
      </c>
      <c r="AT10" s="5">
        <v>5.9690000000000003</v>
      </c>
      <c r="AU10" s="5">
        <v>7.6109999999999998</v>
      </c>
      <c r="AV10" s="5">
        <v>9.9</v>
      </c>
      <c r="AW10" s="5">
        <v>3</v>
      </c>
      <c r="AX10" s="5">
        <v>52</v>
      </c>
      <c r="AY10" s="5" t="s">
        <v>874</v>
      </c>
      <c r="AZ10" s="5" t="s">
        <v>434</v>
      </c>
      <c r="BA10" s="5" t="s">
        <v>434</v>
      </c>
      <c r="BB10" s="5">
        <v>2.38</v>
      </c>
      <c r="BC10" s="5">
        <v>14.426</v>
      </c>
      <c r="BD10" s="5">
        <v>16.097000000000001</v>
      </c>
      <c r="BE10" s="5">
        <v>10</v>
      </c>
      <c r="BF10" s="5">
        <v>69</v>
      </c>
      <c r="BG10" s="5" t="s">
        <v>875</v>
      </c>
      <c r="BH10" s="5" t="s">
        <v>431</v>
      </c>
      <c r="BI10" s="5" t="s">
        <v>431</v>
      </c>
      <c r="BJ10" s="5">
        <v>1.1120000000000001</v>
      </c>
      <c r="BK10" s="5">
        <v>12.538</v>
      </c>
      <c r="BL10" s="5">
        <v>13.388999999999999</v>
      </c>
      <c r="BM10" s="5">
        <v>6</v>
      </c>
      <c r="BN10" s="5">
        <v>63</v>
      </c>
      <c r="BO10" s="5" t="s">
        <v>876</v>
      </c>
      <c r="BP10" s="5" t="s">
        <v>434</v>
      </c>
      <c r="BQ10" s="5" t="s">
        <v>431</v>
      </c>
      <c r="BR10" s="5">
        <v>4.38</v>
      </c>
      <c r="BS10" s="5">
        <v>8.0259999999999998</v>
      </c>
      <c r="BT10" s="5">
        <v>9.1590000000000007</v>
      </c>
      <c r="BU10" s="5">
        <v>4</v>
      </c>
      <c r="BV10" s="5">
        <v>92</v>
      </c>
      <c r="BW10" s="5" t="s">
        <v>877</v>
      </c>
      <c r="BX10" s="5" t="s">
        <v>431</v>
      </c>
      <c r="BY10" s="5" t="s">
        <v>434</v>
      </c>
      <c r="BZ10" s="5">
        <v>1.4610000000000001</v>
      </c>
      <c r="CA10" s="5">
        <v>10.864000000000001</v>
      </c>
      <c r="CB10" s="5">
        <v>12.199</v>
      </c>
      <c r="CC10" s="5">
        <v>8</v>
      </c>
      <c r="CD10" s="5">
        <v>58</v>
      </c>
      <c r="CE10" s="5" t="s">
        <v>878</v>
      </c>
      <c r="CF10" s="5" t="s">
        <v>431</v>
      </c>
      <c r="CG10" s="5" t="s">
        <v>434</v>
      </c>
      <c r="CH10" s="5">
        <v>5.2270000000000003</v>
      </c>
      <c r="CI10" s="5">
        <v>6.6</v>
      </c>
      <c r="CJ10" s="5">
        <v>7.8869999999999996</v>
      </c>
      <c r="CK10" s="5">
        <v>2</v>
      </c>
      <c r="CL10" s="5">
        <v>63</v>
      </c>
      <c r="CM10" s="5" t="s">
        <v>879</v>
      </c>
      <c r="CN10" s="5" t="s">
        <v>250</v>
      </c>
      <c r="CO10" s="5" t="s">
        <v>248</v>
      </c>
      <c r="CP10" s="5" t="s">
        <v>288</v>
      </c>
      <c r="CQ10" s="5" t="s">
        <v>248</v>
      </c>
      <c r="CR10" s="5"/>
    </row>
    <row r="11" spans="1:96" x14ac:dyDescent="0.3">
      <c r="A11" s="4">
        <v>45608.499108796299</v>
      </c>
      <c r="B11" s="4">
        <v>45608.584444444445</v>
      </c>
      <c r="C11" s="5" t="s">
        <v>30</v>
      </c>
      <c r="D11" s="5" t="s">
        <v>182</v>
      </c>
      <c r="E11" s="5">
        <v>100</v>
      </c>
      <c r="F11" s="5">
        <v>7373</v>
      </c>
      <c r="G11" s="5" t="b">
        <v>1</v>
      </c>
      <c r="H11" s="4">
        <v>45608.584456018521</v>
      </c>
      <c r="I11" s="5" t="s">
        <v>183</v>
      </c>
      <c r="J11" s="5"/>
      <c r="K11" s="5"/>
      <c r="L11" s="5"/>
      <c r="M11" s="5"/>
      <c r="N11" s="5">
        <v>42.2821</v>
      </c>
      <c r="O11" s="5">
        <v>-71.8262</v>
      </c>
      <c r="P11" s="5" t="s">
        <v>79</v>
      </c>
      <c r="Q11" s="5" t="s">
        <v>80</v>
      </c>
      <c r="R11" s="5">
        <v>1</v>
      </c>
      <c r="S11" s="5" t="s">
        <v>116</v>
      </c>
      <c r="T11" s="5" t="s">
        <v>82</v>
      </c>
      <c r="U11" s="5" t="s">
        <v>93</v>
      </c>
      <c r="V11" s="5" t="s">
        <v>184</v>
      </c>
      <c r="W11" s="5" t="s">
        <v>98</v>
      </c>
      <c r="X11" s="5" t="s">
        <v>86</v>
      </c>
      <c r="Y11" s="5"/>
      <c r="Z11" s="5" t="s">
        <v>87</v>
      </c>
      <c r="AA11" s="5" t="s">
        <v>113</v>
      </c>
      <c r="AB11" s="5" t="s">
        <v>431</v>
      </c>
      <c r="AC11" s="5" t="s">
        <v>431</v>
      </c>
      <c r="AD11" s="5">
        <v>20.277000000000001</v>
      </c>
      <c r="AE11" s="5">
        <v>20.277000000000001</v>
      </c>
      <c r="AF11" s="5">
        <v>21.62</v>
      </c>
      <c r="AG11" s="5">
        <v>1</v>
      </c>
      <c r="AH11" s="5">
        <v>42</v>
      </c>
      <c r="AI11" s="5" t="s">
        <v>880</v>
      </c>
      <c r="AJ11" s="5" t="s">
        <v>434</v>
      </c>
      <c r="AK11" s="5" t="s">
        <v>431</v>
      </c>
      <c r="AL11" s="5">
        <v>31.387</v>
      </c>
      <c r="AM11" s="5">
        <v>31.387</v>
      </c>
      <c r="AN11" s="5">
        <v>32.485999999999997</v>
      </c>
      <c r="AO11" s="5">
        <v>1</v>
      </c>
      <c r="AP11" s="5">
        <v>75</v>
      </c>
      <c r="AQ11" s="5" t="s">
        <v>881</v>
      </c>
      <c r="AR11" s="5" t="s">
        <v>431</v>
      </c>
      <c r="AS11" s="5" t="s">
        <v>434</v>
      </c>
      <c r="AT11" s="5">
        <v>58.527999999999999</v>
      </c>
      <c r="AU11" s="5">
        <v>58.527999999999999</v>
      </c>
      <c r="AV11" s="5">
        <v>62.317</v>
      </c>
      <c r="AW11" s="5">
        <v>1</v>
      </c>
      <c r="AX11" s="5">
        <v>67</v>
      </c>
      <c r="AY11" s="5" t="s">
        <v>882</v>
      </c>
      <c r="AZ11" s="5" t="s">
        <v>431</v>
      </c>
      <c r="BA11" s="5" t="s">
        <v>434</v>
      </c>
      <c r="BB11" s="5">
        <v>18.484999999999999</v>
      </c>
      <c r="BC11" s="5">
        <v>18.484999999999999</v>
      </c>
      <c r="BD11" s="5">
        <v>21.068999999999999</v>
      </c>
      <c r="BE11" s="5">
        <v>1</v>
      </c>
      <c r="BF11" s="5">
        <v>71</v>
      </c>
      <c r="BG11" s="5" t="s">
        <v>883</v>
      </c>
      <c r="BH11" s="5" t="s">
        <v>431</v>
      </c>
      <c r="BI11" s="5" t="s">
        <v>431</v>
      </c>
      <c r="BJ11" s="5">
        <v>105.845</v>
      </c>
      <c r="BK11" s="5">
        <v>116.72</v>
      </c>
      <c r="BL11" s="5">
        <v>120.621</v>
      </c>
      <c r="BM11" s="5">
        <v>2</v>
      </c>
      <c r="BN11" s="5">
        <v>80</v>
      </c>
      <c r="BO11" s="5" t="s">
        <v>884</v>
      </c>
      <c r="BP11" s="5" t="s">
        <v>434</v>
      </c>
      <c r="BQ11" s="5" t="s">
        <v>431</v>
      </c>
      <c r="BR11" s="5">
        <v>26.161999999999999</v>
      </c>
      <c r="BS11" s="5">
        <v>26.161999999999999</v>
      </c>
      <c r="BT11" s="5">
        <v>28.684999999999999</v>
      </c>
      <c r="BU11" s="5">
        <v>1</v>
      </c>
      <c r="BV11" s="5">
        <v>68</v>
      </c>
      <c r="BW11" s="5" t="s">
        <v>885</v>
      </c>
      <c r="BX11" s="5" t="s">
        <v>431</v>
      </c>
      <c r="BY11" s="5" t="s">
        <v>434</v>
      </c>
      <c r="BZ11" s="5">
        <v>8.5180000000000007</v>
      </c>
      <c r="CA11" s="5">
        <v>75.992999999999995</v>
      </c>
      <c r="CB11" s="5">
        <v>82.265000000000001</v>
      </c>
      <c r="CC11" s="5">
        <v>2</v>
      </c>
      <c r="CD11" s="5">
        <v>84</v>
      </c>
      <c r="CE11" s="5" t="s">
        <v>886</v>
      </c>
      <c r="CF11" s="5" t="s">
        <v>431</v>
      </c>
      <c r="CG11" s="5" t="s">
        <v>434</v>
      </c>
      <c r="CH11" s="5">
        <v>8.9740000000000002</v>
      </c>
      <c r="CI11" s="5">
        <v>8.9740000000000002</v>
      </c>
      <c r="CJ11" s="5">
        <v>14.201000000000001</v>
      </c>
      <c r="CK11" s="5">
        <v>1</v>
      </c>
      <c r="CL11" s="5">
        <v>72</v>
      </c>
      <c r="CM11" s="5" t="s">
        <v>887</v>
      </c>
      <c r="CN11" s="5" t="s">
        <v>289</v>
      </c>
      <c r="CO11" s="5" t="s">
        <v>290</v>
      </c>
      <c r="CP11" s="5" t="s">
        <v>291</v>
      </c>
      <c r="CQ11" s="5" t="s">
        <v>262</v>
      </c>
      <c r="CR11" s="5"/>
    </row>
    <row r="12" spans="1:96" x14ac:dyDescent="0.3">
      <c r="A12" s="4">
        <v>45608.685335648152</v>
      </c>
      <c r="B12" s="4">
        <v>45608.695451388892</v>
      </c>
      <c r="C12" s="5" t="s">
        <v>30</v>
      </c>
      <c r="D12" s="5" t="s">
        <v>204</v>
      </c>
      <c r="E12" s="5">
        <v>100</v>
      </c>
      <c r="F12" s="5">
        <v>874</v>
      </c>
      <c r="G12" s="5" t="b">
        <v>1</v>
      </c>
      <c r="H12" s="4">
        <v>45608.695462962962</v>
      </c>
      <c r="I12" s="5" t="s">
        <v>205</v>
      </c>
      <c r="J12" s="5"/>
      <c r="K12" s="5"/>
      <c r="L12" s="5"/>
      <c r="M12" s="5"/>
      <c r="N12" s="5">
        <v>39.289099999999998</v>
      </c>
      <c r="O12" s="5">
        <v>-76.558300000000003</v>
      </c>
      <c r="P12" s="5" t="s">
        <v>79</v>
      </c>
      <c r="Q12" s="5" t="s">
        <v>80</v>
      </c>
      <c r="R12" s="5">
        <v>1</v>
      </c>
      <c r="S12" s="5" t="s">
        <v>116</v>
      </c>
      <c r="T12" s="5" t="s">
        <v>82</v>
      </c>
      <c r="U12" s="5" t="s">
        <v>93</v>
      </c>
      <c r="V12" s="5" t="s">
        <v>123</v>
      </c>
      <c r="W12" s="5" t="s">
        <v>85</v>
      </c>
      <c r="X12" s="5" t="s">
        <v>86</v>
      </c>
      <c r="Y12" s="5"/>
      <c r="Z12" s="5" t="s">
        <v>87</v>
      </c>
      <c r="AA12" s="5" t="s">
        <v>88</v>
      </c>
      <c r="AB12" s="5" t="s">
        <v>431</v>
      </c>
      <c r="AC12" s="5" t="s">
        <v>431</v>
      </c>
      <c r="AD12" s="5">
        <v>122.146</v>
      </c>
      <c r="AE12" s="5">
        <v>155.803</v>
      </c>
      <c r="AF12" s="5">
        <v>156.63999999999999</v>
      </c>
      <c r="AG12" s="5">
        <v>2</v>
      </c>
      <c r="AH12" s="5">
        <v>70</v>
      </c>
      <c r="AI12" s="5" t="s">
        <v>888</v>
      </c>
      <c r="AJ12" s="5" t="s">
        <v>431</v>
      </c>
      <c r="AK12" s="5" t="s">
        <v>431</v>
      </c>
      <c r="AL12" s="5">
        <v>28.439</v>
      </c>
      <c r="AM12" s="5">
        <v>28.439</v>
      </c>
      <c r="AN12" s="5">
        <v>38.488999999999997</v>
      </c>
      <c r="AO12" s="5">
        <v>1</v>
      </c>
      <c r="AP12" s="5">
        <v>91</v>
      </c>
      <c r="AQ12" s="5" t="s">
        <v>889</v>
      </c>
      <c r="AR12" s="5" t="s">
        <v>434</v>
      </c>
      <c r="AS12" s="5" t="s">
        <v>434</v>
      </c>
      <c r="AT12" s="5">
        <v>39.523000000000003</v>
      </c>
      <c r="AU12" s="5">
        <v>39.523000000000003</v>
      </c>
      <c r="AV12" s="5">
        <v>42.901000000000003</v>
      </c>
      <c r="AW12" s="5">
        <v>1</v>
      </c>
      <c r="AX12" s="5">
        <v>81</v>
      </c>
      <c r="AY12" s="5" t="s">
        <v>890</v>
      </c>
      <c r="AZ12" s="5" t="s">
        <v>431</v>
      </c>
      <c r="BA12" s="5" t="s">
        <v>434</v>
      </c>
      <c r="BB12" s="5">
        <v>15.747999999999999</v>
      </c>
      <c r="BC12" s="5">
        <v>36.463999999999999</v>
      </c>
      <c r="BD12" s="5">
        <v>41.843000000000004</v>
      </c>
      <c r="BE12" s="5">
        <v>2</v>
      </c>
      <c r="BF12" s="5">
        <v>70</v>
      </c>
      <c r="BG12" s="5" t="s">
        <v>891</v>
      </c>
      <c r="BH12" s="5" t="s">
        <v>431</v>
      </c>
      <c r="BI12" s="5" t="s">
        <v>431</v>
      </c>
      <c r="BJ12" s="5">
        <v>31.532</v>
      </c>
      <c r="BK12" s="5">
        <v>31.532</v>
      </c>
      <c r="BL12" s="5">
        <v>32.840000000000003</v>
      </c>
      <c r="BM12" s="5">
        <v>1</v>
      </c>
      <c r="BN12" s="5">
        <v>80</v>
      </c>
      <c r="BO12" s="5"/>
      <c r="BP12" s="5" t="s">
        <v>434</v>
      </c>
      <c r="BQ12" s="5" t="s">
        <v>431</v>
      </c>
      <c r="BR12" s="5">
        <v>58.753</v>
      </c>
      <c r="BS12" s="5">
        <v>58.753</v>
      </c>
      <c r="BT12" s="5">
        <v>60.024000000000001</v>
      </c>
      <c r="BU12" s="5">
        <v>1</v>
      </c>
      <c r="BV12" s="5">
        <v>80</v>
      </c>
      <c r="BW12" s="5" t="s">
        <v>892</v>
      </c>
      <c r="BX12" s="5" t="s">
        <v>434</v>
      </c>
      <c r="BY12" s="5" t="s">
        <v>434</v>
      </c>
      <c r="BZ12" s="5">
        <v>125.651</v>
      </c>
      <c r="CA12" s="5">
        <v>125.651</v>
      </c>
      <c r="CB12" s="5">
        <v>126.422</v>
      </c>
      <c r="CC12" s="5">
        <v>1</v>
      </c>
      <c r="CD12" s="5">
        <v>90</v>
      </c>
      <c r="CE12" s="5" t="s">
        <v>893</v>
      </c>
      <c r="CF12" s="5" t="s">
        <v>434</v>
      </c>
      <c r="CG12" s="5" t="s">
        <v>434</v>
      </c>
      <c r="CH12" s="5">
        <v>16.471</v>
      </c>
      <c r="CI12" s="5">
        <v>16.471</v>
      </c>
      <c r="CJ12" s="5">
        <v>17.297000000000001</v>
      </c>
      <c r="CK12" s="5">
        <v>1</v>
      </c>
      <c r="CL12" s="5">
        <v>80</v>
      </c>
      <c r="CM12" s="5" t="s">
        <v>894</v>
      </c>
      <c r="CN12" s="5" t="s">
        <v>266</v>
      </c>
      <c r="CO12" s="5" t="s">
        <v>244</v>
      </c>
      <c r="CP12" s="5" t="s">
        <v>289</v>
      </c>
      <c r="CQ12" s="5" t="s">
        <v>299</v>
      </c>
      <c r="CR12" s="5"/>
    </row>
    <row r="13" spans="1:96" x14ac:dyDescent="0.3">
      <c r="A13" s="4">
        <v>45608.661909722221</v>
      </c>
      <c r="B13" s="4">
        <v>45608.719456018516</v>
      </c>
      <c r="C13" s="5" t="s">
        <v>30</v>
      </c>
      <c r="D13" s="5" t="s">
        <v>211</v>
      </c>
      <c r="E13" s="5">
        <v>100</v>
      </c>
      <c r="F13" s="5">
        <v>4971</v>
      </c>
      <c r="G13" s="5" t="b">
        <v>1</v>
      </c>
      <c r="H13" s="4">
        <v>45608.719456018516</v>
      </c>
      <c r="I13" s="5" t="s">
        <v>212</v>
      </c>
      <c r="J13" s="5"/>
      <c r="K13" s="5"/>
      <c r="L13" s="5"/>
      <c r="M13" s="5"/>
      <c r="N13" s="5">
        <v>42.2821</v>
      </c>
      <c r="O13" s="5">
        <v>-71.8262</v>
      </c>
      <c r="P13" s="5" t="s">
        <v>79</v>
      </c>
      <c r="Q13" s="5" t="s">
        <v>80</v>
      </c>
      <c r="R13" s="5">
        <v>1</v>
      </c>
      <c r="S13" s="5" t="s">
        <v>116</v>
      </c>
      <c r="T13" s="5" t="s">
        <v>82</v>
      </c>
      <c r="U13" s="5" t="s">
        <v>83</v>
      </c>
      <c r="V13" s="5" t="s">
        <v>213</v>
      </c>
      <c r="W13" s="5" t="s">
        <v>98</v>
      </c>
      <c r="X13" s="5" t="s">
        <v>128</v>
      </c>
      <c r="Y13" s="5"/>
      <c r="Z13" s="5" t="s">
        <v>87</v>
      </c>
      <c r="AA13" s="5" t="s">
        <v>113</v>
      </c>
      <c r="AB13" s="5" t="s">
        <v>431</v>
      </c>
      <c r="AC13" s="5" t="s">
        <v>431</v>
      </c>
      <c r="AD13" s="5">
        <v>26.388999999999999</v>
      </c>
      <c r="AE13" s="5">
        <v>26.388999999999999</v>
      </c>
      <c r="AF13" s="5">
        <v>88.843999999999994</v>
      </c>
      <c r="AG13" s="5">
        <v>1</v>
      </c>
      <c r="AH13" s="5">
        <v>100</v>
      </c>
      <c r="AI13" s="5" t="s">
        <v>895</v>
      </c>
      <c r="AJ13" s="5" t="s">
        <v>431</v>
      </c>
      <c r="AK13" s="5" t="s">
        <v>431</v>
      </c>
      <c r="AL13" s="5">
        <v>15.694000000000001</v>
      </c>
      <c r="AM13" s="5">
        <v>15.694000000000001</v>
      </c>
      <c r="AN13" s="5">
        <v>18.314</v>
      </c>
      <c r="AO13" s="5">
        <v>1</v>
      </c>
      <c r="AP13" s="5">
        <v>83</v>
      </c>
      <c r="AQ13" s="5" t="s">
        <v>896</v>
      </c>
      <c r="AR13" s="5" t="s">
        <v>434</v>
      </c>
      <c r="AS13" s="5" t="s">
        <v>434</v>
      </c>
      <c r="AT13" s="5">
        <v>35.183999999999997</v>
      </c>
      <c r="AU13" s="5">
        <v>38.654000000000003</v>
      </c>
      <c r="AV13" s="5">
        <v>41.673999999999999</v>
      </c>
      <c r="AW13" s="5">
        <v>2</v>
      </c>
      <c r="AX13" s="5">
        <v>75</v>
      </c>
      <c r="AY13" s="5" t="s">
        <v>897</v>
      </c>
      <c r="AZ13" s="5" t="s">
        <v>431</v>
      </c>
      <c r="BA13" s="5" t="s">
        <v>434</v>
      </c>
      <c r="BB13" s="5">
        <v>31.349</v>
      </c>
      <c r="BC13" s="5">
        <v>31.349</v>
      </c>
      <c r="BD13" s="5">
        <v>32.366999999999997</v>
      </c>
      <c r="BE13" s="5">
        <v>1</v>
      </c>
      <c r="BF13" s="5">
        <v>93</v>
      </c>
      <c r="BG13" s="5" t="s">
        <v>898</v>
      </c>
      <c r="BH13" s="5" t="s">
        <v>431</v>
      </c>
      <c r="BI13" s="5" t="s">
        <v>431</v>
      </c>
      <c r="BJ13" s="5">
        <v>29.26</v>
      </c>
      <c r="BK13" s="5">
        <v>29.26</v>
      </c>
      <c r="BL13" s="5">
        <v>35.817</v>
      </c>
      <c r="BM13" s="5">
        <v>1</v>
      </c>
      <c r="BN13" s="5">
        <v>100</v>
      </c>
      <c r="BO13" s="5" t="s">
        <v>899</v>
      </c>
      <c r="BP13" s="5" t="s">
        <v>434</v>
      </c>
      <c r="BQ13" s="5" t="s">
        <v>431</v>
      </c>
      <c r="BR13" s="5">
        <v>7.3550000000000004</v>
      </c>
      <c r="BS13" s="5">
        <v>7.3550000000000004</v>
      </c>
      <c r="BT13" s="5">
        <v>8.7829999999999995</v>
      </c>
      <c r="BU13" s="5">
        <v>1</v>
      </c>
      <c r="BV13" s="5">
        <v>100</v>
      </c>
      <c r="BW13" s="5" t="s">
        <v>900</v>
      </c>
      <c r="BX13" s="5" t="s">
        <v>431</v>
      </c>
      <c r="BY13" s="5" t="s">
        <v>434</v>
      </c>
      <c r="BZ13" s="5">
        <v>16.02</v>
      </c>
      <c r="CA13" s="5">
        <v>16.02</v>
      </c>
      <c r="CB13" s="5">
        <v>19.802</v>
      </c>
      <c r="CC13" s="5">
        <v>1</v>
      </c>
      <c r="CD13" s="5">
        <v>72</v>
      </c>
      <c r="CE13" s="5" t="s">
        <v>901</v>
      </c>
      <c r="CF13" s="5" t="s">
        <v>431</v>
      </c>
      <c r="CG13" s="5" t="s">
        <v>434</v>
      </c>
      <c r="CH13" s="5">
        <v>10.17</v>
      </c>
      <c r="CI13" s="5">
        <v>14.173999999999999</v>
      </c>
      <c r="CJ13" s="5">
        <v>15.89</v>
      </c>
      <c r="CK13" s="5">
        <v>2</v>
      </c>
      <c r="CL13" s="5">
        <v>87</v>
      </c>
      <c r="CM13" s="5" t="s">
        <v>902</v>
      </c>
      <c r="CN13" s="5" t="s">
        <v>277</v>
      </c>
      <c r="CO13" s="5" t="s">
        <v>247</v>
      </c>
      <c r="CP13" s="5" t="s">
        <v>277</v>
      </c>
      <c r="CQ13" s="5" t="s">
        <v>278</v>
      </c>
      <c r="CR13" s="5"/>
    </row>
    <row r="14" spans="1:96" x14ac:dyDescent="0.3">
      <c r="A14" s="4">
        <v>45608.874780092592</v>
      </c>
      <c r="B14" s="4">
        <v>45608.887395833335</v>
      </c>
      <c r="C14" s="5" t="s">
        <v>30</v>
      </c>
      <c r="D14" s="5" t="s">
        <v>221</v>
      </c>
      <c r="E14" s="5">
        <v>100</v>
      </c>
      <c r="F14" s="5">
        <v>1089</v>
      </c>
      <c r="G14" s="5" t="b">
        <v>1</v>
      </c>
      <c r="H14" s="4">
        <v>45608.887395833335</v>
      </c>
      <c r="I14" s="5" t="s">
        <v>222</v>
      </c>
      <c r="J14" s="5"/>
      <c r="K14" s="5"/>
      <c r="L14" s="5"/>
      <c r="M14" s="5"/>
      <c r="N14" s="5">
        <v>42.2821</v>
      </c>
      <c r="O14" s="5">
        <v>-71.8262</v>
      </c>
      <c r="P14" s="5" t="s">
        <v>79</v>
      </c>
      <c r="Q14" s="5" t="s">
        <v>80</v>
      </c>
      <c r="R14" s="5">
        <v>1</v>
      </c>
      <c r="S14" s="5" t="s">
        <v>116</v>
      </c>
      <c r="T14" s="5" t="s">
        <v>82</v>
      </c>
      <c r="U14" s="5" t="s">
        <v>93</v>
      </c>
      <c r="V14" s="5" t="s">
        <v>134</v>
      </c>
      <c r="W14" s="5" t="s">
        <v>98</v>
      </c>
      <c r="X14" s="5" t="s">
        <v>95</v>
      </c>
      <c r="Y14" s="5"/>
      <c r="Z14" s="5" t="s">
        <v>140</v>
      </c>
      <c r="AA14" s="5" t="s">
        <v>88</v>
      </c>
      <c r="AB14" s="5" t="s">
        <v>431</v>
      </c>
      <c r="AC14" s="5" t="s">
        <v>431</v>
      </c>
      <c r="AD14" s="5">
        <v>37.65</v>
      </c>
      <c r="AE14" s="5">
        <v>37.65</v>
      </c>
      <c r="AF14" s="5">
        <v>56.881999999999998</v>
      </c>
      <c r="AG14" s="5">
        <v>1</v>
      </c>
      <c r="AH14" s="5">
        <v>97</v>
      </c>
      <c r="AI14" s="5" t="s">
        <v>903</v>
      </c>
      <c r="AJ14" s="5" t="s">
        <v>431</v>
      </c>
      <c r="AK14" s="5" t="s">
        <v>431</v>
      </c>
      <c r="AL14" s="5">
        <v>83.332999999999998</v>
      </c>
      <c r="AM14" s="5">
        <v>83.332999999999998</v>
      </c>
      <c r="AN14" s="5">
        <v>85.218999999999994</v>
      </c>
      <c r="AO14" s="5">
        <v>1</v>
      </c>
      <c r="AP14" s="5">
        <v>71</v>
      </c>
      <c r="AQ14" s="5" t="s">
        <v>904</v>
      </c>
      <c r="AR14" s="5" t="s">
        <v>434</v>
      </c>
      <c r="AS14" s="5" t="s">
        <v>434</v>
      </c>
      <c r="AT14" s="5">
        <v>86.507999999999996</v>
      </c>
      <c r="AU14" s="5">
        <v>86.507999999999996</v>
      </c>
      <c r="AV14" s="5">
        <v>87.855000000000004</v>
      </c>
      <c r="AW14" s="5">
        <v>1</v>
      </c>
      <c r="AX14" s="5">
        <v>60</v>
      </c>
      <c r="AY14" s="5"/>
      <c r="AZ14" s="5" t="s">
        <v>434</v>
      </c>
      <c r="BA14" s="5" t="s">
        <v>434</v>
      </c>
      <c r="BB14" s="5">
        <v>24.513999999999999</v>
      </c>
      <c r="BC14" s="5">
        <v>24.513999999999999</v>
      </c>
      <c r="BD14" s="5">
        <v>25.687000000000001</v>
      </c>
      <c r="BE14" s="5">
        <v>1</v>
      </c>
      <c r="BF14" s="5">
        <v>41</v>
      </c>
      <c r="BG14" s="5"/>
      <c r="BH14" s="5" t="s">
        <v>431</v>
      </c>
      <c r="BI14" s="5" t="s">
        <v>431</v>
      </c>
      <c r="BJ14" s="5">
        <v>45.508000000000003</v>
      </c>
      <c r="BK14" s="5">
        <v>45.508000000000003</v>
      </c>
      <c r="BL14" s="5">
        <v>46.868000000000002</v>
      </c>
      <c r="BM14" s="5">
        <v>1</v>
      </c>
      <c r="BN14" s="5">
        <v>100</v>
      </c>
      <c r="BO14" s="5"/>
      <c r="BP14" s="5" t="s">
        <v>431</v>
      </c>
      <c r="BQ14" s="5" t="s">
        <v>431</v>
      </c>
      <c r="BR14" s="5">
        <v>30.341999999999999</v>
      </c>
      <c r="BS14" s="5">
        <v>30.341999999999999</v>
      </c>
      <c r="BT14" s="5">
        <v>32.877000000000002</v>
      </c>
      <c r="BU14" s="5">
        <v>1</v>
      </c>
      <c r="BV14" s="5">
        <v>71</v>
      </c>
      <c r="BW14" s="5"/>
      <c r="BX14" s="5" t="s">
        <v>434</v>
      </c>
      <c r="BY14" s="5" t="s">
        <v>434</v>
      </c>
      <c r="BZ14" s="5">
        <v>31.198</v>
      </c>
      <c r="CA14" s="5">
        <v>31.198</v>
      </c>
      <c r="CB14" s="5">
        <v>33.009</v>
      </c>
      <c r="CC14" s="5">
        <v>1</v>
      </c>
      <c r="CD14" s="5">
        <v>70</v>
      </c>
      <c r="CE14" s="5" t="s">
        <v>905</v>
      </c>
      <c r="CF14" s="5" t="s">
        <v>434</v>
      </c>
      <c r="CG14" s="5" t="s">
        <v>434</v>
      </c>
      <c r="CH14" s="5">
        <v>23.489000000000001</v>
      </c>
      <c r="CI14" s="5">
        <v>23.489000000000001</v>
      </c>
      <c r="CJ14" s="5">
        <v>24.663</v>
      </c>
      <c r="CK14" s="5">
        <v>1</v>
      </c>
      <c r="CL14" s="5">
        <v>100</v>
      </c>
      <c r="CM14" s="5" t="s">
        <v>906</v>
      </c>
      <c r="CN14" s="5" t="s">
        <v>246</v>
      </c>
      <c r="CO14" s="5" t="s">
        <v>292</v>
      </c>
      <c r="CP14" s="5" t="s">
        <v>244</v>
      </c>
      <c r="CQ14" s="5" t="s">
        <v>246</v>
      </c>
      <c r="CR14" s="5"/>
    </row>
    <row r="15" spans="1:96" x14ac:dyDescent="0.3">
      <c r="A15" s="4">
        <v>45610.709988425922</v>
      </c>
      <c r="B15" s="4">
        <v>45610.711828703701</v>
      </c>
      <c r="C15" s="5" t="s">
        <v>30</v>
      </c>
      <c r="D15" s="5" t="s">
        <v>230</v>
      </c>
      <c r="E15" s="5">
        <v>100</v>
      </c>
      <c r="F15" s="5">
        <v>158</v>
      </c>
      <c r="G15" s="5" t="b">
        <v>1</v>
      </c>
      <c r="H15" s="4">
        <v>45610.711840277778</v>
      </c>
      <c r="I15" s="5" t="s">
        <v>231</v>
      </c>
      <c r="J15" s="5"/>
      <c r="K15" s="5"/>
      <c r="L15" s="5"/>
      <c r="M15" s="5"/>
      <c r="N15" s="5">
        <v>34.1676</v>
      </c>
      <c r="O15" s="5">
        <v>-118.3892</v>
      </c>
      <c r="P15" s="5" t="s">
        <v>79</v>
      </c>
      <c r="Q15" s="5" t="s">
        <v>80</v>
      </c>
      <c r="R15" s="5">
        <v>1</v>
      </c>
      <c r="S15" s="5" t="s">
        <v>103</v>
      </c>
      <c r="T15" s="5">
        <v>132</v>
      </c>
      <c r="U15" s="5" t="s">
        <v>93</v>
      </c>
      <c r="V15" s="5" t="s">
        <v>127</v>
      </c>
      <c r="W15" s="5" t="s">
        <v>85</v>
      </c>
      <c r="X15" s="5" t="s">
        <v>95</v>
      </c>
      <c r="Y15" s="5"/>
      <c r="Z15" s="5" t="s">
        <v>118</v>
      </c>
      <c r="AA15" s="5" t="s">
        <v>232</v>
      </c>
      <c r="AB15" s="5" t="s">
        <v>434</v>
      </c>
      <c r="AC15" s="5" t="s">
        <v>431</v>
      </c>
      <c r="AD15" s="5">
        <v>12.856999999999999</v>
      </c>
      <c r="AE15" s="5">
        <v>12.856999999999999</v>
      </c>
      <c r="AF15" s="5">
        <v>13.566000000000001</v>
      </c>
      <c r="AG15" s="5">
        <v>1</v>
      </c>
      <c r="AH15" s="5">
        <v>71</v>
      </c>
      <c r="AI15" s="5"/>
      <c r="AJ15" s="5" t="s">
        <v>434</v>
      </c>
      <c r="AK15" s="5" t="s">
        <v>431</v>
      </c>
      <c r="AL15" s="5">
        <v>3.5409999999999999</v>
      </c>
      <c r="AM15" s="5">
        <v>3.5409999999999999</v>
      </c>
      <c r="AN15" s="5">
        <v>4.4530000000000003</v>
      </c>
      <c r="AO15" s="5">
        <v>1</v>
      </c>
      <c r="AP15" s="5">
        <v>70</v>
      </c>
      <c r="AQ15" s="5"/>
      <c r="AR15" s="5" t="s">
        <v>431</v>
      </c>
      <c r="AS15" s="5" t="s">
        <v>434</v>
      </c>
      <c r="AT15" s="5">
        <v>0.92200000000000004</v>
      </c>
      <c r="AU15" s="5">
        <v>0.92200000000000004</v>
      </c>
      <c r="AV15" s="5">
        <v>1.65</v>
      </c>
      <c r="AW15" s="5">
        <v>1</v>
      </c>
      <c r="AX15" s="5">
        <v>70</v>
      </c>
      <c r="AY15" s="5"/>
      <c r="AZ15" s="5" t="s">
        <v>434</v>
      </c>
      <c r="BA15" s="5" t="s">
        <v>434</v>
      </c>
      <c r="BB15" s="5">
        <v>0.9</v>
      </c>
      <c r="BC15" s="5">
        <v>3.2509999999999999</v>
      </c>
      <c r="BD15" s="5">
        <v>3.5630000000000002</v>
      </c>
      <c r="BE15" s="5">
        <v>3</v>
      </c>
      <c r="BF15" s="5">
        <v>70</v>
      </c>
      <c r="BG15" s="5"/>
      <c r="BH15" s="5" t="s">
        <v>431</v>
      </c>
      <c r="BI15" s="5" t="s">
        <v>431</v>
      </c>
      <c r="BJ15" s="5">
        <v>0.25900000000000001</v>
      </c>
      <c r="BK15" s="5">
        <v>0.25900000000000001</v>
      </c>
      <c r="BL15" s="5">
        <v>1.325</v>
      </c>
      <c r="BM15" s="5">
        <v>1</v>
      </c>
      <c r="BN15" s="5">
        <v>70</v>
      </c>
      <c r="BO15" s="5"/>
      <c r="BP15" s="5" t="s">
        <v>431</v>
      </c>
      <c r="BQ15" s="5" t="s">
        <v>431</v>
      </c>
      <c r="BR15" s="5">
        <v>0.61599999999999999</v>
      </c>
      <c r="BS15" s="5">
        <v>2.9</v>
      </c>
      <c r="BT15" s="5">
        <v>6.0259999999999998</v>
      </c>
      <c r="BU15" s="5">
        <v>4</v>
      </c>
      <c r="BV15" s="5">
        <v>70</v>
      </c>
      <c r="BW15" s="5"/>
      <c r="BX15" s="5" t="s">
        <v>431</v>
      </c>
      <c r="BY15" s="5" t="s">
        <v>434</v>
      </c>
      <c r="BZ15" s="5">
        <v>0.41199999999999998</v>
      </c>
      <c r="CA15" s="5">
        <v>0.41199999999999998</v>
      </c>
      <c r="CB15" s="5">
        <v>1.901</v>
      </c>
      <c r="CC15" s="5">
        <v>1</v>
      </c>
      <c r="CD15" s="5">
        <v>77</v>
      </c>
      <c r="CE15" s="5"/>
      <c r="CF15" s="5" t="s">
        <v>434</v>
      </c>
      <c r="CG15" s="5" t="s">
        <v>434</v>
      </c>
      <c r="CH15" s="5">
        <v>0.14499999999999999</v>
      </c>
      <c r="CI15" s="5">
        <v>0.14499999999999999</v>
      </c>
      <c r="CJ15" s="5">
        <v>0.94</v>
      </c>
      <c r="CK15" s="5">
        <v>1</v>
      </c>
      <c r="CL15" s="5">
        <v>73</v>
      </c>
      <c r="CM15" s="5"/>
      <c r="CN15" s="5" t="s">
        <v>303</v>
      </c>
      <c r="CO15" s="5" t="s">
        <v>288</v>
      </c>
      <c r="CP15" s="5" t="s">
        <v>289</v>
      </c>
      <c r="CQ15" s="5" t="s">
        <v>304</v>
      </c>
      <c r="CR15" s="5"/>
    </row>
    <row r="16" spans="1:96" x14ac:dyDescent="0.3">
      <c r="A16" s="4">
        <v>45614.713206018518</v>
      </c>
      <c r="B16" s="4">
        <v>45614.715960648151</v>
      </c>
      <c r="C16" s="5" t="s">
        <v>30</v>
      </c>
      <c r="D16" s="5" t="s">
        <v>1141</v>
      </c>
      <c r="E16" s="5">
        <v>100</v>
      </c>
      <c r="F16" s="5">
        <v>238</v>
      </c>
      <c r="G16" s="5" t="b">
        <v>1</v>
      </c>
      <c r="H16" s="4">
        <v>45614.71597222222</v>
      </c>
      <c r="I16" s="5" t="s">
        <v>1142</v>
      </c>
      <c r="J16" s="5"/>
      <c r="K16" s="5"/>
      <c r="L16" s="5"/>
      <c r="M16" s="5"/>
      <c r="N16" s="5">
        <v>42.2821</v>
      </c>
      <c r="O16" s="5">
        <v>-71.8262</v>
      </c>
      <c r="P16" s="5" t="s">
        <v>79</v>
      </c>
      <c r="Q16" s="5" t="s">
        <v>80</v>
      </c>
      <c r="R16" s="5">
        <v>1</v>
      </c>
      <c r="S16" s="5" t="s">
        <v>116</v>
      </c>
      <c r="T16" s="5" t="s">
        <v>82</v>
      </c>
      <c r="U16" s="5" t="s">
        <v>93</v>
      </c>
      <c r="V16" s="5" t="s">
        <v>1143</v>
      </c>
      <c r="W16" s="5" t="s">
        <v>98</v>
      </c>
      <c r="X16" s="5" t="s">
        <v>86</v>
      </c>
      <c r="Y16" s="5"/>
      <c r="Z16" s="5" t="s">
        <v>118</v>
      </c>
      <c r="AA16" s="5" t="s">
        <v>1144</v>
      </c>
      <c r="AB16" s="5" t="s">
        <v>431</v>
      </c>
      <c r="AC16" s="5" t="s">
        <v>431</v>
      </c>
      <c r="AD16" s="5">
        <v>6.2220000000000004</v>
      </c>
      <c r="AE16" s="5">
        <v>9.9390000000000001</v>
      </c>
      <c r="AF16" s="5">
        <v>10.944000000000001</v>
      </c>
      <c r="AG16" s="5">
        <v>2</v>
      </c>
      <c r="AH16" s="5">
        <v>38</v>
      </c>
      <c r="AI16" s="5" t="s">
        <v>1168</v>
      </c>
      <c r="AJ16" s="5" t="s">
        <v>434</v>
      </c>
      <c r="AK16" s="5" t="s">
        <v>431</v>
      </c>
      <c r="AL16" s="5">
        <v>6.266</v>
      </c>
      <c r="AM16" s="5">
        <v>7.5780000000000003</v>
      </c>
      <c r="AN16" s="5">
        <v>9.4139999999999997</v>
      </c>
      <c r="AO16" s="5">
        <v>2</v>
      </c>
      <c r="AP16" s="5">
        <v>85</v>
      </c>
      <c r="AQ16" s="5" t="s">
        <v>1169</v>
      </c>
      <c r="AR16" s="5" t="s">
        <v>434</v>
      </c>
      <c r="AS16" s="5" t="s">
        <v>434</v>
      </c>
      <c r="AT16" s="5">
        <v>27.658999999999999</v>
      </c>
      <c r="AU16" s="5">
        <v>27.658999999999999</v>
      </c>
      <c r="AV16" s="5">
        <v>30.965</v>
      </c>
      <c r="AW16" s="5">
        <v>1</v>
      </c>
      <c r="AX16" s="5">
        <v>70</v>
      </c>
      <c r="AY16" s="5" t="s">
        <v>1170</v>
      </c>
      <c r="AZ16" s="5" t="s">
        <v>431</v>
      </c>
      <c r="BA16" s="5" t="s">
        <v>434</v>
      </c>
      <c r="BB16" s="5">
        <v>3.8159999999999998</v>
      </c>
      <c r="BC16" s="5">
        <v>3.8159999999999998</v>
      </c>
      <c r="BD16" s="5">
        <v>5.2729999999999997</v>
      </c>
      <c r="BE16" s="5">
        <v>1</v>
      </c>
      <c r="BF16" s="5">
        <v>84</v>
      </c>
      <c r="BG16" s="5" t="s">
        <v>1170</v>
      </c>
      <c r="BH16" s="5" t="s">
        <v>431</v>
      </c>
      <c r="BI16" s="5" t="s">
        <v>431</v>
      </c>
      <c r="BJ16" s="5">
        <v>1.218</v>
      </c>
      <c r="BK16" s="5">
        <v>1.218</v>
      </c>
      <c r="BL16" s="5">
        <v>4.9000000000000004</v>
      </c>
      <c r="BM16" s="5">
        <v>1</v>
      </c>
      <c r="BN16" s="5">
        <v>97</v>
      </c>
      <c r="BO16" s="5" t="s">
        <v>1170</v>
      </c>
      <c r="BP16" s="5" t="s">
        <v>431</v>
      </c>
      <c r="BQ16" s="5" t="s">
        <v>431</v>
      </c>
      <c r="BR16" s="5">
        <v>7.2169999999999996</v>
      </c>
      <c r="BS16" s="5">
        <v>7.2169999999999996</v>
      </c>
      <c r="BT16" s="5">
        <v>8.7690000000000001</v>
      </c>
      <c r="BU16" s="5">
        <v>1</v>
      </c>
      <c r="BV16" s="5">
        <v>80</v>
      </c>
      <c r="BW16" s="5" t="s">
        <v>1170</v>
      </c>
      <c r="BX16" s="5" t="s">
        <v>434</v>
      </c>
      <c r="BY16" s="5" t="s">
        <v>434</v>
      </c>
      <c r="BZ16" s="5">
        <v>11.129</v>
      </c>
      <c r="CA16" s="5">
        <v>13.199</v>
      </c>
      <c r="CB16" s="5">
        <v>14.122</v>
      </c>
      <c r="CC16" s="5">
        <v>2</v>
      </c>
      <c r="CD16" s="5">
        <v>90</v>
      </c>
      <c r="CE16" s="5" t="s">
        <v>1171</v>
      </c>
      <c r="CF16" s="5" t="s">
        <v>434</v>
      </c>
      <c r="CG16" s="5" t="s">
        <v>434</v>
      </c>
      <c r="CH16" s="5">
        <v>1.514</v>
      </c>
      <c r="CI16" s="5">
        <v>5.99</v>
      </c>
      <c r="CJ16" s="5">
        <v>7.8010000000000002</v>
      </c>
      <c r="CK16" s="5">
        <v>2</v>
      </c>
      <c r="CL16" s="5">
        <v>84</v>
      </c>
      <c r="CM16" s="5" t="s">
        <v>1172</v>
      </c>
      <c r="CN16" s="5" t="s">
        <v>277</v>
      </c>
      <c r="CO16" s="5" t="s">
        <v>277</v>
      </c>
      <c r="CP16" s="5" t="s">
        <v>277</v>
      </c>
      <c r="CQ16" s="5" t="s">
        <v>276</v>
      </c>
      <c r="CR16" s="5"/>
    </row>
    <row r="17" spans="1:96" x14ac:dyDescent="0.3">
      <c r="A17" s="4">
        <v>45643.67732638889</v>
      </c>
      <c r="B17" s="4">
        <v>45643.75172453704</v>
      </c>
      <c r="C17" s="5" t="s">
        <v>30</v>
      </c>
      <c r="D17" s="5" t="s">
        <v>206</v>
      </c>
      <c r="E17" s="5">
        <v>100</v>
      </c>
      <c r="F17" s="5">
        <v>6427</v>
      </c>
      <c r="G17" s="5" t="b">
        <v>1</v>
      </c>
      <c r="H17" s="4">
        <v>45643.751736111109</v>
      </c>
      <c r="I17" s="5" t="s">
        <v>1206</v>
      </c>
      <c r="J17" s="5"/>
      <c r="K17" s="5"/>
      <c r="L17" s="5"/>
      <c r="M17" s="5"/>
      <c r="N17" s="5">
        <v>42.255499999999998</v>
      </c>
      <c r="O17" s="5">
        <v>-71.771900000000002</v>
      </c>
      <c r="P17" s="5" t="s">
        <v>79</v>
      </c>
      <c r="Q17" s="5" t="s">
        <v>80</v>
      </c>
      <c r="R17" s="5">
        <v>1</v>
      </c>
      <c r="S17" s="5" t="s">
        <v>116</v>
      </c>
      <c r="T17" s="5" t="s">
        <v>1150</v>
      </c>
      <c r="U17" s="5" t="s">
        <v>93</v>
      </c>
      <c r="V17" s="5" t="s">
        <v>123</v>
      </c>
      <c r="W17" s="5" t="s">
        <v>85</v>
      </c>
      <c r="X17" s="5" t="s">
        <v>86</v>
      </c>
      <c r="Y17" s="5"/>
      <c r="Z17" s="5" t="s">
        <v>118</v>
      </c>
      <c r="AA17" s="5" t="s">
        <v>88</v>
      </c>
      <c r="AB17" s="5" t="s">
        <v>434</v>
      </c>
      <c r="AC17" s="5" t="s">
        <v>431</v>
      </c>
      <c r="AD17" s="5">
        <v>43.027000000000001</v>
      </c>
      <c r="AE17" s="5">
        <v>225.67</v>
      </c>
      <c r="AF17" s="5">
        <v>500.55399999999997</v>
      </c>
      <c r="AG17" s="5">
        <v>9</v>
      </c>
      <c r="AH17" s="5">
        <v>95</v>
      </c>
      <c r="AI17" s="5" t="s">
        <v>1217</v>
      </c>
      <c r="AJ17" s="5" t="s">
        <v>434</v>
      </c>
      <c r="AK17" s="5" t="s">
        <v>431</v>
      </c>
      <c r="AL17" s="5">
        <v>78.543000000000006</v>
      </c>
      <c r="AM17" s="5">
        <v>78.543000000000006</v>
      </c>
      <c r="AN17" s="5">
        <v>121.804</v>
      </c>
      <c r="AO17" s="5">
        <v>1</v>
      </c>
      <c r="AP17" s="5">
        <v>90</v>
      </c>
      <c r="AQ17" s="5" t="s">
        <v>1218</v>
      </c>
      <c r="AR17" s="5" t="s">
        <v>434</v>
      </c>
      <c r="AS17" s="5" t="s">
        <v>434</v>
      </c>
      <c r="AT17" s="5">
        <v>25.63</v>
      </c>
      <c r="AU17" s="5">
        <v>58.204999999999998</v>
      </c>
      <c r="AV17" s="5">
        <v>311.32100000000003</v>
      </c>
      <c r="AW17" s="5">
        <v>3</v>
      </c>
      <c r="AX17" s="5">
        <v>95</v>
      </c>
      <c r="AY17" s="5" t="s">
        <v>1219</v>
      </c>
      <c r="AZ17" s="5" t="s">
        <v>434</v>
      </c>
      <c r="BA17" s="5" t="s">
        <v>434</v>
      </c>
      <c r="BB17" s="5">
        <v>81.915999999999997</v>
      </c>
      <c r="BC17" s="5">
        <v>102.128</v>
      </c>
      <c r="BD17" s="5">
        <v>127.416</v>
      </c>
      <c r="BE17" s="5">
        <v>5</v>
      </c>
      <c r="BF17" s="5">
        <v>90</v>
      </c>
      <c r="BG17" s="5" t="s">
        <v>1220</v>
      </c>
      <c r="BH17" s="5" t="s">
        <v>431</v>
      </c>
      <c r="BI17" s="5" t="s">
        <v>431</v>
      </c>
      <c r="BJ17" s="5">
        <v>28.744</v>
      </c>
      <c r="BK17" s="5">
        <v>74.009</v>
      </c>
      <c r="BL17" s="5">
        <v>125.312</v>
      </c>
      <c r="BM17" s="5">
        <v>3</v>
      </c>
      <c r="BN17" s="5">
        <v>95</v>
      </c>
      <c r="BO17" s="5" t="s">
        <v>1221</v>
      </c>
      <c r="BP17" s="5" t="s">
        <v>434</v>
      </c>
      <c r="BQ17" s="5" t="s">
        <v>431</v>
      </c>
      <c r="BR17" s="5">
        <v>12.521000000000001</v>
      </c>
      <c r="BS17" s="5">
        <v>28.183</v>
      </c>
      <c r="BT17" s="5">
        <v>73.399000000000001</v>
      </c>
      <c r="BU17" s="5">
        <v>5</v>
      </c>
      <c r="BV17" s="5">
        <v>90</v>
      </c>
      <c r="BW17" s="5" t="s">
        <v>1222</v>
      </c>
      <c r="BX17" s="5" t="s">
        <v>434</v>
      </c>
      <c r="BY17" s="5" t="s">
        <v>434</v>
      </c>
      <c r="BZ17" s="5">
        <v>27.091999999999999</v>
      </c>
      <c r="CA17" s="5">
        <v>55.252000000000002</v>
      </c>
      <c r="CB17" s="5">
        <v>55.658999999999999</v>
      </c>
      <c r="CC17" s="5">
        <v>2</v>
      </c>
      <c r="CD17" s="5">
        <v>95</v>
      </c>
      <c r="CE17" s="5" t="s">
        <v>1223</v>
      </c>
      <c r="CF17" s="5" t="s">
        <v>434</v>
      </c>
      <c r="CG17" s="5" t="s">
        <v>434</v>
      </c>
      <c r="CH17" s="5">
        <v>11.492000000000001</v>
      </c>
      <c r="CI17" s="5">
        <v>44.307000000000002</v>
      </c>
      <c r="CJ17" s="5">
        <v>64.387</v>
      </c>
      <c r="CK17" s="5">
        <v>5</v>
      </c>
      <c r="CL17" s="5">
        <v>95</v>
      </c>
      <c r="CM17" s="5" t="s">
        <v>1224</v>
      </c>
      <c r="CN17" s="5" t="s">
        <v>279</v>
      </c>
      <c r="CO17" s="5" t="s">
        <v>245</v>
      </c>
      <c r="CP17" s="5" t="s">
        <v>275</v>
      </c>
      <c r="CQ17" s="5" t="s">
        <v>245</v>
      </c>
      <c r="CR17" s="5"/>
    </row>
    <row r="18" spans="1:96" x14ac:dyDescent="0.3">
      <c r="A18" s="4">
        <v>45644.462685185186</v>
      </c>
      <c r="B18" s="4">
        <v>45644.506724537037</v>
      </c>
      <c r="C18" s="5" t="s">
        <v>30</v>
      </c>
      <c r="D18" s="5" t="s">
        <v>1207</v>
      </c>
      <c r="E18" s="5">
        <v>100</v>
      </c>
      <c r="F18" s="5">
        <v>3805</v>
      </c>
      <c r="G18" s="5" t="b">
        <v>1</v>
      </c>
      <c r="H18" s="4">
        <v>45644.506736111114</v>
      </c>
      <c r="I18" s="5" t="s">
        <v>1208</v>
      </c>
      <c r="J18" s="5"/>
      <c r="K18" s="5"/>
      <c r="L18" s="5"/>
      <c r="M18" s="5"/>
      <c r="N18" s="5">
        <v>42.255499999999998</v>
      </c>
      <c r="O18" s="5">
        <v>-71.771900000000002</v>
      </c>
      <c r="P18" s="5" t="s">
        <v>79</v>
      </c>
      <c r="Q18" s="5" t="s">
        <v>80</v>
      </c>
      <c r="R18" s="5">
        <v>1</v>
      </c>
      <c r="S18" s="5" t="s">
        <v>81</v>
      </c>
      <c r="T18" s="5" t="s">
        <v>1150</v>
      </c>
      <c r="U18" s="5" t="s">
        <v>83</v>
      </c>
      <c r="V18" s="5" t="s">
        <v>120</v>
      </c>
      <c r="W18" s="5" t="s">
        <v>98</v>
      </c>
      <c r="X18" s="5" t="s">
        <v>86</v>
      </c>
      <c r="Y18" s="5"/>
      <c r="Z18" s="5" t="s">
        <v>140</v>
      </c>
      <c r="AA18" s="5" t="s">
        <v>216</v>
      </c>
      <c r="AB18" s="5" t="s">
        <v>431</v>
      </c>
      <c r="AC18" s="5" t="s">
        <v>431</v>
      </c>
      <c r="AD18" s="5">
        <v>58.470999999999997</v>
      </c>
      <c r="AE18" s="5">
        <v>58.470999999999997</v>
      </c>
      <c r="AF18" s="5">
        <v>206.489</v>
      </c>
      <c r="AG18" s="5">
        <v>1</v>
      </c>
      <c r="AH18" s="5">
        <v>92</v>
      </c>
      <c r="AI18" s="5" t="s">
        <v>1225</v>
      </c>
      <c r="AJ18" s="5" t="s">
        <v>434</v>
      </c>
      <c r="AK18" s="5" t="s">
        <v>431</v>
      </c>
      <c r="AL18" s="5">
        <v>308.92</v>
      </c>
      <c r="AM18" s="5">
        <v>308.92</v>
      </c>
      <c r="AN18" s="5">
        <v>481.66500000000002</v>
      </c>
      <c r="AO18" s="5">
        <v>1</v>
      </c>
      <c r="AP18" s="5">
        <v>86</v>
      </c>
      <c r="AQ18" s="5"/>
      <c r="AR18" s="5" t="s">
        <v>431</v>
      </c>
      <c r="AS18" s="5" t="s">
        <v>434</v>
      </c>
      <c r="AT18" s="5">
        <v>29.117999999999999</v>
      </c>
      <c r="AU18" s="5">
        <v>243.97800000000001</v>
      </c>
      <c r="AV18" s="5">
        <v>244.76300000000001</v>
      </c>
      <c r="AW18" s="5">
        <v>3</v>
      </c>
      <c r="AX18" s="5">
        <v>86</v>
      </c>
      <c r="AY18" s="5" t="s">
        <v>1226</v>
      </c>
      <c r="AZ18" s="5" t="s">
        <v>434</v>
      </c>
      <c r="BA18" s="5" t="s">
        <v>434</v>
      </c>
      <c r="BB18" s="5">
        <v>85.42</v>
      </c>
      <c r="BC18" s="5">
        <v>85.42</v>
      </c>
      <c r="BD18" s="5">
        <v>196.53899999999999</v>
      </c>
      <c r="BE18" s="5">
        <v>1</v>
      </c>
      <c r="BF18" s="5">
        <v>87</v>
      </c>
      <c r="BG18" s="5" t="s">
        <v>1227</v>
      </c>
      <c r="BH18" s="5" t="s">
        <v>431</v>
      </c>
      <c r="BI18" s="5" t="s">
        <v>431</v>
      </c>
      <c r="BJ18" s="5">
        <v>165.084</v>
      </c>
      <c r="BK18" s="5">
        <v>165.084</v>
      </c>
      <c r="BL18" s="5">
        <v>421.89</v>
      </c>
      <c r="BM18" s="5">
        <v>1</v>
      </c>
      <c r="BN18" s="5">
        <v>83</v>
      </c>
      <c r="BO18" s="5" t="s">
        <v>1228</v>
      </c>
      <c r="BP18" s="5" t="s">
        <v>431</v>
      </c>
      <c r="BQ18" s="5" t="s">
        <v>431</v>
      </c>
      <c r="BR18" s="5">
        <v>185.24600000000001</v>
      </c>
      <c r="BS18" s="5">
        <v>185.24600000000001</v>
      </c>
      <c r="BT18" s="5">
        <v>257.31700000000001</v>
      </c>
      <c r="BU18" s="5">
        <v>1</v>
      </c>
      <c r="BV18" s="5">
        <v>86</v>
      </c>
      <c r="BW18" s="5" t="s">
        <v>1229</v>
      </c>
      <c r="BX18" s="5" t="s">
        <v>434</v>
      </c>
      <c r="BY18" s="5" t="s">
        <v>434</v>
      </c>
      <c r="BZ18" s="5">
        <v>142.35599999999999</v>
      </c>
      <c r="CA18" s="5">
        <v>142.35599999999999</v>
      </c>
      <c r="CB18" s="5">
        <v>320.87599999999998</v>
      </c>
      <c r="CC18" s="5">
        <v>1</v>
      </c>
      <c r="CD18" s="5">
        <v>82</v>
      </c>
      <c r="CE18" s="5" t="s">
        <v>1230</v>
      </c>
      <c r="CF18" s="5" t="s">
        <v>434</v>
      </c>
      <c r="CG18" s="5" t="s">
        <v>434</v>
      </c>
      <c r="CH18" s="5">
        <v>213.459</v>
      </c>
      <c r="CI18" s="5">
        <v>213.459</v>
      </c>
      <c r="CJ18" s="5">
        <v>215.065</v>
      </c>
      <c r="CK18" s="5">
        <v>1</v>
      </c>
      <c r="CL18" s="5">
        <v>82</v>
      </c>
      <c r="CM18" s="5" t="s">
        <v>1231</v>
      </c>
      <c r="CN18" s="5" t="s">
        <v>279</v>
      </c>
      <c r="CO18" s="5" t="s">
        <v>244</v>
      </c>
      <c r="CP18" s="5" t="s">
        <v>260</v>
      </c>
      <c r="CQ18" s="5" t="s">
        <v>257</v>
      </c>
      <c r="CR18" s="5"/>
    </row>
  </sheetData>
  <autoFilter ref="A1:CR15" xr:uid="{1A9194CB-8080-45EB-8ADC-C1C77E84738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82889-7FAC-4CC5-AF39-8C9ACF04AB53}">
  <dimension ref="A1:CR17"/>
  <sheetViews>
    <sheetView workbookViewId="0">
      <selection activeCell="CM25" sqref="CM25"/>
    </sheetView>
  </sheetViews>
  <sheetFormatPr defaultColWidth="18.6640625" defaultRowHeight="14.4" x14ac:dyDescent="0.3"/>
  <sheetData>
    <row r="1" spans="1:96"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907</v>
      </c>
      <c r="AC1" s="2" t="s">
        <v>1124</v>
      </c>
      <c r="AD1" s="2" t="s">
        <v>908</v>
      </c>
      <c r="AE1" s="2" t="s">
        <v>909</v>
      </c>
      <c r="AF1" s="2" t="s">
        <v>910</v>
      </c>
      <c r="AG1" s="2" t="s">
        <v>911</v>
      </c>
      <c r="AH1" s="2" t="s">
        <v>912</v>
      </c>
      <c r="AI1" s="2" t="s">
        <v>913</v>
      </c>
      <c r="AJ1" s="2" t="s">
        <v>914</v>
      </c>
      <c r="AK1" s="2" t="s">
        <v>1125</v>
      </c>
      <c r="AL1" s="2" t="s">
        <v>915</v>
      </c>
      <c r="AM1" s="2" t="s">
        <v>916</v>
      </c>
      <c r="AN1" s="2" t="s">
        <v>917</v>
      </c>
      <c r="AO1" s="2" t="s">
        <v>918</v>
      </c>
      <c r="AP1" s="2" t="s">
        <v>919</v>
      </c>
      <c r="AQ1" s="2" t="s">
        <v>920</v>
      </c>
      <c r="AR1" s="2" t="s">
        <v>921</v>
      </c>
      <c r="AS1" s="2" t="s">
        <v>1126</v>
      </c>
      <c r="AT1" s="2" t="s">
        <v>922</v>
      </c>
      <c r="AU1" s="2" t="s">
        <v>923</v>
      </c>
      <c r="AV1" s="2" t="s">
        <v>924</v>
      </c>
      <c r="AW1" s="2" t="s">
        <v>925</v>
      </c>
      <c r="AX1" s="2" t="s">
        <v>926</v>
      </c>
      <c r="AY1" s="2" t="s">
        <v>927</v>
      </c>
      <c r="AZ1" s="2" t="s">
        <v>928</v>
      </c>
      <c r="BA1" s="2" t="s">
        <v>1127</v>
      </c>
      <c r="BB1" s="2" t="s">
        <v>929</v>
      </c>
      <c r="BC1" s="2" t="s">
        <v>930</v>
      </c>
      <c r="BD1" s="2" t="s">
        <v>931</v>
      </c>
      <c r="BE1" s="2" t="s">
        <v>932</v>
      </c>
      <c r="BF1" s="2" t="s">
        <v>933</v>
      </c>
      <c r="BG1" s="2" t="s">
        <v>934</v>
      </c>
      <c r="BH1" s="2" t="s">
        <v>935</v>
      </c>
      <c r="BI1" s="2" t="s">
        <v>1128</v>
      </c>
      <c r="BJ1" s="2" t="s">
        <v>936</v>
      </c>
      <c r="BK1" s="2" t="s">
        <v>937</v>
      </c>
      <c r="BL1" s="2" t="s">
        <v>938</v>
      </c>
      <c r="BM1" s="2" t="s">
        <v>939</v>
      </c>
      <c r="BN1" s="2" t="s">
        <v>940</v>
      </c>
      <c r="BO1" s="2" t="s">
        <v>941</v>
      </c>
      <c r="BP1" s="2" t="s">
        <v>942</v>
      </c>
      <c r="BQ1" s="2" t="s">
        <v>1129</v>
      </c>
      <c r="BR1" s="2" t="s">
        <v>943</v>
      </c>
      <c r="BS1" s="2" t="s">
        <v>944</v>
      </c>
      <c r="BT1" s="2" t="s">
        <v>945</v>
      </c>
      <c r="BU1" s="2" t="s">
        <v>946</v>
      </c>
      <c r="BV1" s="2" t="s">
        <v>947</v>
      </c>
      <c r="BW1" s="2" t="s">
        <v>948</v>
      </c>
      <c r="BX1" s="2" t="s">
        <v>949</v>
      </c>
      <c r="BY1" s="2" t="s">
        <v>1130</v>
      </c>
      <c r="BZ1" s="2" t="s">
        <v>950</v>
      </c>
      <c r="CA1" s="2" t="s">
        <v>951</v>
      </c>
      <c r="CB1" s="2" t="s">
        <v>952</v>
      </c>
      <c r="CC1" s="2" t="s">
        <v>953</v>
      </c>
      <c r="CD1" s="2" t="s">
        <v>954</v>
      </c>
      <c r="CE1" s="2" t="s">
        <v>955</v>
      </c>
      <c r="CF1" s="2" t="s">
        <v>956</v>
      </c>
      <c r="CG1" s="2" t="s">
        <v>1131</v>
      </c>
      <c r="CH1" s="2" t="s">
        <v>957</v>
      </c>
      <c r="CI1" s="2" t="s">
        <v>958</v>
      </c>
      <c r="CJ1" s="2" t="s">
        <v>959</v>
      </c>
      <c r="CK1" s="2" t="s">
        <v>960</v>
      </c>
      <c r="CL1" s="2" t="s">
        <v>961</v>
      </c>
      <c r="CM1" s="2" t="s">
        <v>962</v>
      </c>
      <c r="CN1" s="2" t="s">
        <v>233</v>
      </c>
      <c r="CO1" s="2" t="s">
        <v>234</v>
      </c>
      <c r="CP1" s="2" t="s">
        <v>235</v>
      </c>
      <c r="CQ1" s="2" t="s">
        <v>236</v>
      </c>
      <c r="CR1" s="2" t="s">
        <v>721</v>
      </c>
    </row>
    <row r="2" spans="1:96" ht="16.2" customHeight="1" x14ac:dyDescent="0.3">
      <c r="A2" s="2" t="s">
        <v>27</v>
      </c>
      <c r="B2" s="2" t="s">
        <v>28</v>
      </c>
      <c r="C2" s="2" t="s">
        <v>29</v>
      </c>
      <c r="D2" s="2" t="s">
        <v>30</v>
      </c>
      <c r="E2" s="2" t="s">
        <v>4</v>
      </c>
      <c r="F2" s="2" t="s">
        <v>5</v>
      </c>
      <c r="G2" s="2" t="s">
        <v>6</v>
      </c>
      <c r="H2" s="2" t="s">
        <v>31</v>
      </c>
      <c r="I2" s="2" t="s">
        <v>32</v>
      </c>
      <c r="J2" s="2" t="s">
        <v>33</v>
      </c>
      <c r="K2" s="2" t="s">
        <v>34</v>
      </c>
      <c r="L2" s="2" t="s">
        <v>35</v>
      </c>
      <c r="M2" s="2" t="s">
        <v>36</v>
      </c>
      <c r="N2" s="2" t="s">
        <v>37</v>
      </c>
      <c r="O2" s="2" t="s">
        <v>38</v>
      </c>
      <c r="P2" s="2" t="s">
        <v>39</v>
      </c>
      <c r="Q2" s="2" t="s">
        <v>40</v>
      </c>
      <c r="R2" s="2" t="s">
        <v>17</v>
      </c>
      <c r="S2" s="2" t="s">
        <v>41</v>
      </c>
      <c r="T2" s="2" t="s">
        <v>42</v>
      </c>
      <c r="U2" s="2" t="s">
        <v>43</v>
      </c>
      <c r="V2" s="2" t="s">
        <v>44</v>
      </c>
      <c r="W2" s="2" t="s">
        <v>45</v>
      </c>
      <c r="X2" s="2" t="s">
        <v>46</v>
      </c>
      <c r="Y2" s="2" t="s">
        <v>47</v>
      </c>
      <c r="Z2" s="2" t="s">
        <v>48</v>
      </c>
      <c r="AA2" s="2" t="s">
        <v>49</v>
      </c>
      <c r="AB2" s="3" t="s">
        <v>963</v>
      </c>
      <c r="AC2" s="3"/>
      <c r="AD2" s="2" t="s">
        <v>362</v>
      </c>
      <c r="AE2" s="2" t="s">
        <v>363</v>
      </c>
      <c r="AF2" s="2" t="s">
        <v>364</v>
      </c>
      <c r="AG2" s="2" t="s">
        <v>365</v>
      </c>
      <c r="AH2" s="2" t="s">
        <v>366</v>
      </c>
      <c r="AI2" s="2" t="s">
        <v>367</v>
      </c>
      <c r="AJ2" s="2" t="s">
        <v>964</v>
      </c>
      <c r="AK2" s="2"/>
      <c r="AL2" s="2" t="s">
        <v>362</v>
      </c>
      <c r="AM2" s="2" t="s">
        <v>363</v>
      </c>
      <c r="AN2" s="2" t="s">
        <v>364</v>
      </c>
      <c r="AO2" s="2" t="s">
        <v>365</v>
      </c>
      <c r="AP2" s="2" t="s">
        <v>366</v>
      </c>
      <c r="AQ2" s="2" t="s">
        <v>367</v>
      </c>
      <c r="AR2" s="2" t="s">
        <v>370</v>
      </c>
      <c r="AS2" s="2"/>
      <c r="AT2" s="2" t="s">
        <v>362</v>
      </c>
      <c r="AU2" s="2" t="s">
        <v>363</v>
      </c>
      <c r="AV2" s="2" t="s">
        <v>364</v>
      </c>
      <c r="AW2" s="2" t="s">
        <v>365</v>
      </c>
      <c r="AX2" s="2" t="s">
        <v>366</v>
      </c>
      <c r="AY2" s="2" t="s">
        <v>367</v>
      </c>
      <c r="AZ2" s="3" t="s">
        <v>965</v>
      </c>
      <c r="BA2" s="3"/>
      <c r="BB2" s="2" t="s">
        <v>362</v>
      </c>
      <c r="BC2" s="2" t="s">
        <v>363</v>
      </c>
      <c r="BD2" s="2" t="s">
        <v>364</v>
      </c>
      <c r="BE2" s="2" t="s">
        <v>365</v>
      </c>
      <c r="BF2" s="2" t="s">
        <v>366</v>
      </c>
      <c r="BG2" s="2" t="s">
        <v>367</v>
      </c>
      <c r="BH2" s="3" t="s">
        <v>580</v>
      </c>
      <c r="BI2" s="3"/>
      <c r="BJ2" s="2" t="s">
        <v>362</v>
      </c>
      <c r="BK2" s="2" t="s">
        <v>363</v>
      </c>
      <c r="BL2" s="2" t="s">
        <v>364</v>
      </c>
      <c r="BM2" s="2" t="s">
        <v>365</v>
      </c>
      <c r="BN2" s="2" t="s">
        <v>366</v>
      </c>
      <c r="BO2" s="2" t="s">
        <v>367</v>
      </c>
      <c r="BP2" s="3" t="s">
        <v>780</v>
      </c>
      <c r="BQ2" s="3"/>
      <c r="BR2" s="2" t="s">
        <v>362</v>
      </c>
      <c r="BS2" s="2" t="s">
        <v>363</v>
      </c>
      <c r="BT2" s="2" t="s">
        <v>364</v>
      </c>
      <c r="BU2" s="2" t="s">
        <v>365</v>
      </c>
      <c r="BV2" s="2" t="s">
        <v>366</v>
      </c>
      <c r="BW2" s="2" t="s">
        <v>367</v>
      </c>
      <c r="BX2" s="2" t="s">
        <v>581</v>
      </c>
      <c r="BY2" s="2"/>
      <c r="BZ2" s="2" t="s">
        <v>362</v>
      </c>
      <c r="CA2" s="2" t="s">
        <v>363</v>
      </c>
      <c r="CB2" s="2" t="s">
        <v>364</v>
      </c>
      <c r="CC2" s="2" t="s">
        <v>365</v>
      </c>
      <c r="CD2" s="2" t="s">
        <v>366</v>
      </c>
      <c r="CE2" s="2" t="s">
        <v>367</v>
      </c>
      <c r="CF2" s="3" t="s">
        <v>582</v>
      </c>
      <c r="CG2" s="3"/>
      <c r="CH2" s="2" t="s">
        <v>362</v>
      </c>
      <c r="CI2" s="2" t="s">
        <v>363</v>
      </c>
      <c r="CJ2" s="2" t="s">
        <v>364</v>
      </c>
      <c r="CK2" s="2" t="s">
        <v>365</v>
      </c>
      <c r="CL2" s="2" t="s">
        <v>366</v>
      </c>
      <c r="CM2" s="2" t="s">
        <v>367</v>
      </c>
      <c r="CN2" s="2" t="s">
        <v>237</v>
      </c>
      <c r="CO2" s="2" t="s">
        <v>237</v>
      </c>
      <c r="CP2" s="2" t="s">
        <v>238</v>
      </c>
      <c r="CQ2" s="2" t="s">
        <v>237</v>
      </c>
      <c r="CR2" s="2" t="s">
        <v>721</v>
      </c>
    </row>
    <row r="3" spans="1:96" ht="15.6" x14ac:dyDescent="0.3">
      <c r="A3" s="2" t="s">
        <v>50</v>
      </c>
      <c r="B3" s="2" t="s">
        <v>51</v>
      </c>
      <c r="C3" s="2" t="s">
        <v>52</v>
      </c>
      <c r="D3" s="2" t="s">
        <v>53</v>
      </c>
      <c r="E3" s="2" t="s">
        <v>54</v>
      </c>
      <c r="F3" s="2" t="s">
        <v>55</v>
      </c>
      <c r="G3" s="2" t="s">
        <v>56</v>
      </c>
      <c r="H3" s="2" t="s">
        <v>57</v>
      </c>
      <c r="I3" s="2" t="s">
        <v>58</v>
      </c>
      <c r="J3" s="2" t="s">
        <v>59</v>
      </c>
      <c r="K3" s="2" t="s">
        <v>60</v>
      </c>
      <c r="L3" s="2" t="s">
        <v>61</v>
      </c>
      <c r="M3" s="2" t="s">
        <v>62</v>
      </c>
      <c r="N3" s="2" t="s">
        <v>63</v>
      </c>
      <c r="O3" s="2" t="s">
        <v>64</v>
      </c>
      <c r="P3" s="2" t="s">
        <v>65</v>
      </c>
      <c r="Q3" s="2" t="s">
        <v>66</v>
      </c>
      <c r="R3" s="2" t="s">
        <v>67</v>
      </c>
      <c r="S3" s="2" t="s">
        <v>68</v>
      </c>
      <c r="T3" s="2" t="s">
        <v>69</v>
      </c>
      <c r="U3" s="2" t="s">
        <v>70</v>
      </c>
      <c r="V3" s="2" t="s">
        <v>71</v>
      </c>
      <c r="W3" s="2" t="s">
        <v>72</v>
      </c>
      <c r="X3" s="2" t="s">
        <v>73</v>
      </c>
      <c r="Y3" s="2" t="s">
        <v>74</v>
      </c>
      <c r="Z3" s="2" t="s">
        <v>75</v>
      </c>
      <c r="AA3" s="2" t="s">
        <v>76</v>
      </c>
      <c r="AB3" s="2" t="s">
        <v>966</v>
      </c>
      <c r="AC3" s="2"/>
      <c r="AD3" s="2" t="s">
        <v>967</v>
      </c>
      <c r="AE3" s="2" t="s">
        <v>968</v>
      </c>
      <c r="AF3" s="2" t="s">
        <v>969</v>
      </c>
      <c r="AG3" s="2" t="s">
        <v>970</v>
      </c>
      <c r="AH3" s="2" t="s">
        <v>971</v>
      </c>
      <c r="AI3" s="2" t="s">
        <v>972</v>
      </c>
      <c r="AJ3" s="2" t="s">
        <v>973</v>
      </c>
      <c r="AK3" s="2"/>
      <c r="AL3" s="2" t="s">
        <v>974</v>
      </c>
      <c r="AM3" s="2" t="s">
        <v>975</v>
      </c>
      <c r="AN3" s="2" t="s">
        <v>976</v>
      </c>
      <c r="AO3" s="2" t="s">
        <v>977</v>
      </c>
      <c r="AP3" s="2" t="s">
        <v>978</v>
      </c>
      <c r="AQ3" s="2" t="s">
        <v>979</v>
      </c>
      <c r="AR3" s="2" t="s">
        <v>980</v>
      </c>
      <c r="AS3" s="2"/>
      <c r="AT3" s="2" t="s">
        <v>981</v>
      </c>
      <c r="AU3" s="2" t="s">
        <v>982</v>
      </c>
      <c r="AV3" s="2" t="s">
        <v>983</v>
      </c>
      <c r="AW3" s="2" t="s">
        <v>984</v>
      </c>
      <c r="AX3" s="2" t="s">
        <v>985</v>
      </c>
      <c r="AY3" s="2" t="s">
        <v>986</v>
      </c>
      <c r="AZ3" s="2" t="s">
        <v>987</v>
      </c>
      <c r="BA3" s="2"/>
      <c r="BB3" s="2" t="s">
        <v>988</v>
      </c>
      <c r="BC3" s="2" t="s">
        <v>989</v>
      </c>
      <c r="BD3" s="2" t="s">
        <v>990</v>
      </c>
      <c r="BE3" s="2" t="s">
        <v>991</v>
      </c>
      <c r="BF3" s="2" t="s">
        <v>992</v>
      </c>
      <c r="BG3" s="2" t="s">
        <v>993</v>
      </c>
      <c r="BH3" s="2" t="s">
        <v>994</v>
      </c>
      <c r="BI3" s="2"/>
      <c r="BJ3" s="2" t="s">
        <v>995</v>
      </c>
      <c r="BK3" s="2" t="s">
        <v>996</v>
      </c>
      <c r="BL3" s="2" t="s">
        <v>997</v>
      </c>
      <c r="BM3" s="2" t="s">
        <v>998</v>
      </c>
      <c r="BN3" s="2" t="s">
        <v>999</v>
      </c>
      <c r="BO3" s="2" t="s">
        <v>1000</v>
      </c>
      <c r="BP3" s="2" t="s">
        <v>1001</v>
      </c>
      <c r="BQ3" s="2"/>
      <c r="BR3" s="2" t="s">
        <v>1002</v>
      </c>
      <c r="BS3" s="2" t="s">
        <v>1003</v>
      </c>
      <c r="BT3" s="2" t="s">
        <v>1004</v>
      </c>
      <c r="BU3" s="2" t="s">
        <v>1005</v>
      </c>
      <c r="BV3" s="2" t="s">
        <v>1006</v>
      </c>
      <c r="BW3" s="2" t="s">
        <v>1007</v>
      </c>
      <c r="BX3" s="2" t="s">
        <v>1008</v>
      </c>
      <c r="BY3" s="2"/>
      <c r="BZ3" s="2" t="s">
        <v>1009</v>
      </c>
      <c r="CA3" s="2" t="s">
        <v>1010</v>
      </c>
      <c r="CB3" s="2" t="s">
        <v>1011</v>
      </c>
      <c r="CC3" s="2" t="s">
        <v>1012</v>
      </c>
      <c r="CD3" s="2" t="s">
        <v>1013</v>
      </c>
      <c r="CE3" s="2" t="s">
        <v>1014</v>
      </c>
      <c r="CF3" s="2" t="s">
        <v>1015</v>
      </c>
      <c r="CG3" s="2"/>
      <c r="CH3" s="2" t="s">
        <v>1016</v>
      </c>
      <c r="CI3" s="2" t="s">
        <v>1017</v>
      </c>
      <c r="CJ3" s="2" t="s">
        <v>1018</v>
      </c>
      <c r="CK3" s="2" t="s">
        <v>1019</v>
      </c>
      <c r="CL3" s="2" t="s">
        <v>1020</v>
      </c>
      <c r="CM3" s="2" t="s">
        <v>1021</v>
      </c>
      <c r="CN3" s="2" t="s">
        <v>239</v>
      </c>
      <c r="CO3" s="2" t="s">
        <v>240</v>
      </c>
      <c r="CP3" s="2" t="s">
        <v>241</v>
      </c>
      <c r="CQ3" s="2" t="s">
        <v>242</v>
      </c>
      <c r="CR3" s="2" t="s">
        <v>722</v>
      </c>
    </row>
    <row r="4" spans="1:96" x14ac:dyDescent="0.3">
      <c r="A4" s="4">
        <v>45600.580821759257</v>
      </c>
      <c r="B4" s="4">
        <v>45600.629837962966</v>
      </c>
      <c r="C4" s="5" t="s">
        <v>30</v>
      </c>
      <c r="D4" s="5" t="s">
        <v>101</v>
      </c>
      <c r="E4" s="5">
        <v>100</v>
      </c>
      <c r="F4" s="5">
        <v>4235</v>
      </c>
      <c r="G4" s="5" t="b">
        <v>1</v>
      </c>
      <c r="H4" s="4">
        <v>45600.629849537036</v>
      </c>
      <c r="I4" s="5" t="s">
        <v>102</v>
      </c>
      <c r="J4" s="5"/>
      <c r="K4" s="5"/>
      <c r="L4" s="5"/>
      <c r="M4" s="5"/>
      <c r="N4" s="5">
        <v>42.2821</v>
      </c>
      <c r="O4" s="5">
        <v>-71.8262</v>
      </c>
      <c r="P4" s="5" t="s">
        <v>79</v>
      </c>
      <c r="Q4" s="5" t="s">
        <v>80</v>
      </c>
      <c r="R4" s="5">
        <v>1</v>
      </c>
      <c r="S4" s="5" t="s">
        <v>103</v>
      </c>
      <c r="T4" s="5">
        <v>132</v>
      </c>
      <c r="U4" s="5" t="s">
        <v>83</v>
      </c>
      <c r="V4" s="5" t="s">
        <v>84</v>
      </c>
      <c r="W4" s="5" t="s">
        <v>85</v>
      </c>
      <c r="X4" s="5" t="s">
        <v>86</v>
      </c>
      <c r="Y4" s="5"/>
      <c r="Z4" s="5" t="s">
        <v>87</v>
      </c>
      <c r="AA4" s="5" t="s">
        <v>88</v>
      </c>
      <c r="AB4" s="5" t="s">
        <v>434</v>
      </c>
      <c r="AC4" s="5" t="s">
        <v>431</v>
      </c>
      <c r="AD4" s="5">
        <v>40.5</v>
      </c>
      <c r="AE4" s="5">
        <v>40.5</v>
      </c>
      <c r="AF4" s="5">
        <v>47.783999999999999</v>
      </c>
      <c r="AG4" s="5">
        <v>1</v>
      </c>
      <c r="AH4" s="5">
        <v>30</v>
      </c>
      <c r="AI4" s="5" t="s">
        <v>1022</v>
      </c>
      <c r="AJ4" s="5" t="s">
        <v>431</v>
      </c>
      <c r="AK4" s="5" t="s">
        <v>431</v>
      </c>
      <c r="AL4" s="5">
        <v>626.005</v>
      </c>
      <c r="AM4" s="5">
        <v>626.005</v>
      </c>
      <c r="AN4" s="5">
        <v>627.43799999999999</v>
      </c>
      <c r="AO4" s="5">
        <v>1</v>
      </c>
      <c r="AP4" s="5">
        <v>90</v>
      </c>
      <c r="AQ4" s="5" t="s">
        <v>1023</v>
      </c>
      <c r="AR4" s="5" t="s">
        <v>434</v>
      </c>
      <c r="AS4" s="5" t="s">
        <v>434</v>
      </c>
      <c r="AT4" s="5">
        <v>29.975999999999999</v>
      </c>
      <c r="AU4" s="5">
        <v>29.975999999999999</v>
      </c>
      <c r="AV4" s="5">
        <v>40.098999999999997</v>
      </c>
      <c r="AW4" s="5">
        <v>1</v>
      </c>
      <c r="AX4" s="5">
        <v>70</v>
      </c>
      <c r="AY4" s="5" t="s">
        <v>1024</v>
      </c>
      <c r="AZ4" s="5" t="s">
        <v>431</v>
      </c>
      <c r="BA4" s="5" t="s">
        <v>434</v>
      </c>
      <c r="BB4" s="5">
        <v>15.951000000000001</v>
      </c>
      <c r="BC4" s="5">
        <v>15.951000000000001</v>
      </c>
      <c r="BD4" s="5">
        <v>17.100999999999999</v>
      </c>
      <c r="BE4" s="5">
        <v>1</v>
      </c>
      <c r="BF4" s="5">
        <v>80</v>
      </c>
      <c r="BG4" s="5" t="s">
        <v>1025</v>
      </c>
      <c r="BH4" s="5" t="s">
        <v>431</v>
      </c>
      <c r="BI4" s="5" t="s">
        <v>431</v>
      </c>
      <c r="BJ4" s="5">
        <v>58.37</v>
      </c>
      <c r="BK4" s="5">
        <v>58.37</v>
      </c>
      <c r="BL4" s="5">
        <v>59.518999999999998</v>
      </c>
      <c r="BM4" s="5">
        <v>1</v>
      </c>
      <c r="BN4" s="5">
        <v>60</v>
      </c>
      <c r="BO4" s="5" t="s">
        <v>1026</v>
      </c>
      <c r="BP4" s="5" t="s">
        <v>431</v>
      </c>
      <c r="BQ4" s="5" t="s">
        <v>431</v>
      </c>
      <c r="BR4" s="5">
        <v>33.000999999999998</v>
      </c>
      <c r="BS4" s="5">
        <v>33.000999999999998</v>
      </c>
      <c r="BT4" s="5">
        <v>34.07</v>
      </c>
      <c r="BU4" s="5">
        <v>1</v>
      </c>
      <c r="BV4" s="5">
        <v>40</v>
      </c>
      <c r="BW4" s="5" t="s">
        <v>1027</v>
      </c>
      <c r="BX4" s="5" t="s">
        <v>434</v>
      </c>
      <c r="BY4" s="5" t="s">
        <v>434</v>
      </c>
      <c r="BZ4" s="5">
        <v>40.258000000000003</v>
      </c>
      <c r="CA4" s="5">
        <v>40.258000000000003</v>
      </c>
      <c r="CB4" s="5">
        <v>41.576999999999998</v>
      </c>
      <c r="CC4" s="5">
        <v>1</v>
      </c>
      <c r="CD4" s="5">
        <v>70</v>
      </c>
      <c r="CE4" s="5" t="s">
        <v>1028</v>
      </c>
      <c r="CF4" s="5" t="s">
        <v>434</v>
      </c>
      <c r="CG4" s="5" t="s">
        <v>434</v>
      </c>
      <c r="CH4" s="5">
        <v>21.821999999999999</v>
      </c>
      <c r="CI4" s="5">
        <v>21.821999999999999</v>
      </c>
      <c r="CJ4" s="5">
        <v>22.965</v>
      </c>
      <c r="CK4" s="5">
        <v>1</v>
      </c>
      <c r="CL4" s="5">
        <v>60</v>
      </c>
      <c r="CM4" s="5" t="s">
        <v>1029</v>
      </c>
      <c r="CN4" s="5" t="s">
        <v>251</v>
      </c>
      <c r="CO4" s="5" t="s">
        <v>252</v>
      </c>
      <c r="CP4" s="5" t="s">
        <v>253</v>
      </c>
      <c r="CQ4" s="5" t="s">
        <v>254</v>
      </c>
      <c r="CR4" s="5"/>
    </row>
    <row r="5" spans="1:96" x14ac:dyDescent="0.3">
      <c r="A5" s="4">
        <v>45607.471041666664</v>
      </c>
      <c r="B5" s="4">
        <v>45607.476342592592</v>
      </c>
      <c r="C5" s="5" t="s">
        <v>30</v>
      </c>
      <c r="D5" s="5" t="s">
        <v>114</v>
      </c>
      <c r="E5" s="5">
        <v>100</v>
      </c>
      <c r="F5" s="5">
        <v>457</v>
      </c>
      <c r="G5" s="5" t="b">
        <v>1</v>
      </c>
      <c r="H5" s="4">
        <v>45607.476342592592</v>
      </c>
      <c r="I5" s="5" t="s">
        <v>119</v>
      </c>
      <c r="J5" s="5"/>
      <c r="K5" s="5"/>
      <c r="L5" s="5"/>
      <c r="M5" s="5"/>
      <c r="N5" s="5">
        <v>42.262</v>
      </c>
      <c r="O5" s="5">
        <v>-71.800700000000006</v>
      </c>
      <c r="P5" s="5" t="s">
        <v>79</v>
      </c>
      <c r="Q5" s="5" t="s">
        <v>80</v>
      </c>
      <c r="R5" s="5">
        <v>1</v>
      </c>
      <c r="S5" s="5" t="s">
        <v>81</v>
      </c>
      <c r="T5" s="5" t="s">
        <v>82</v>
      </c>
      <c r="U5" s="5" t="s">
        <v>83</v>
      </c>
      <c r="V5" s="5" t="s">
        <v>120</v>
      </c>
      <c r="W5" s="5" t="s">
        <v>85</v>
      </c>
      <c r="X5" s="5" t="s">
        <v>86</v>
      </c>
      <c r="Y5" s="5"/>
      <c r="Z5" s="5" t="s">
        <v>118</v>
      </c>
      <c r="AA5" s="5" t="s">
        <v>88</v>
      </c>
      <c r="AB5" s="5" t="s">
        <v>431</v>
      </c>
      <c r="AC5" s="5" t="s">
        <v>431</v>
      </c>
      <c r="AD5" s="5">
        <v>16.457000000000001</v>
      </c>
      <c r="AE5" s="5">
        <v>16.457000000000001</v>
      </c>
      <c r="AF5" s="5">
        <v>19.178000000000001</v>
      </c>
      <c r="AG5" s="5">
        <v>1</v>
      </c>
      <c r="AH5" s="5">
        <v>81</v>
      </c>
      <c r="AI5" s="5"/>
      <c r="AJ5" s="5" t="s">
        <v>434</v>
      </c>
      <c r="AK5" s="5" t="s">
        <v>431</v>
      </c>
      <c r="AL5" s="5">
        <v>7.0049999999999999</v>
      </c>
      <c r="AM5" s="5">
        <v>7.0049999999999999</v>
      </c>
      <c r="AN5" s="5">
        <v>8.1199999999999992</v>
      </c>
      <c r="AO5" s="5">
        <v>1</v>
      </c>
      <c r="AP5" s="5">
        <v>72</v>
      </c>
      <c r="AQ5" s="5"/>
      <c r="AR5" s="5" t="s">
        <v>434</v>
      </c>
      <c r="AS5" s="5" t="s">
        <v>434</v>
      </c>
      <c r="AT5" s="5">
        <v>33.579000000000001</v>
      </c>
      <c r="AU5" s="5">
        <v>34.258000000000003</v>
      </c>
      <c r="AV5" s="5">
        <v>36.012</v>
      </c>
      <c r="AW5" s="5">
        <v>2</v>
      </c>
      <c r="AX5" s="5">
        <v>84</v>
      </c>
      <c r="AY5" s="5"/>
      <c r="AZ5" s="5" t="s">
        <v>431</v>
      </c>
      <c r="BA5" s="5" t="s">
        <v>434</v>
      </c>
      <c r="BB5" s="5">
        <v>4.5460000000000003</v>
      </c>
      <c r="BC5" s="5">
        <v>5.3940000000000001</v>
      </c>
      <c r="BD5" s="5">
        <v>6.2610000000000001</v>
      </c>
      <c r="BE5" s="5">
        <v>2</v>
      </c>
      <c r="BF5" s="5">
        <v>83</v>
      </c>
      <c r="BG5" s="5"/>
      <c r="BH5" s="5" t="s">
        <v>434</v>
      </c>
      <c r="BI5" s="5" t="s">
        <v>431</v>
      </c>
      <c r="BJ5" s="5">
        <v>33.271000000000001</v>
      </c>
      <c r="BK5" s="5">
        <v>33.271000000000001</v>
      </c>
      <c r="BL5" s="5">
        <v>34.168999999999997</v>
      </c>
      <c r="BM5" s="5">
        <v>1</v>
      </c>
      <c r="BN5" s="5">
        <v>82</v>
      </c>
      <c r="BO5" s="5"/>
      <c r="BP5" s="5" t="s">
        <v>431</v>
      </c>
      <c r="BQ5" s="5" t="s">
        <v>431</v>
      </c>
      <c r="BR5" s="5">
        <v>4.8259999999999996</v>
      </c>
      <c r="BS5" s="5">
        <v>4.8259999999999996</v>
      </c>
      <c r="BT5" s="5">
        <v>5.8040000000000003</v>
      </c>
      <c r="BU5" s="5">
        <v>1</v>
      </c>
      <c r="BV5" s="5">
        <v>75</v>
      </c>
      <c r="BW5" s="5"/>
      <c r="BX5" s="5" t="s">
        <v>431</v>
      </c>
      <c r="BY5" s="5" t="s">
        <v>434</v>
      </c>
      <c r="BZ5" s="5">
        <v>12.041</v>
      </c>
      <c r="CA5" s="5">
        <v>12.041</v>
      </c>
      <c r="CB5" s="5">
        <v>14.252000000000001</v>
      </c>
      <c r="CC5" s="5">
        <v>1</v>
      </c>
      <c r="CD5" s="5">
        <v>82</v>
      </c>
      <c r="CE5" s="5"/>
      <c r="CF5" s="5" t="s">
        <v>431</v>
      </c>
      <c r="CG5" s="5" t="s">
        <v>434</v>
      </c>
      <c r="CH5" s="5">
        <v>8.0920000000000005</v>
      </c>
      <c r="CI5" s="5">
        <v>8.0920000000000005</v>
      </c>
      <c r="CJ5" s="5">
        <v>8.9179999999999993</v>
      </c>
      <c r="CK5" s="5">
        <v>1</v>
      </c>
      <c r="CL5" s="5">
        <v>81</v>
      </c>
      <c r="CM5" s="5"/>
      <c r="CN5" s="5" t="s">
        <v>258</v>
      </c>
      <c r="CO5" s="5" t="s">
        <v>258</v>
      </c>
      <c r="CP5" s="5" t="s">
        <v>258</v>
      </c>
      <c r="CQ5" s="5" t="s">
        <v>258</v>
      </c>
      <c r="CR5" s="5"/>
    </row>
    <row r="6" spans="1:96" x14ac:dyDescent="0.3">
      <c r="A6" s="4">
        <v>45607.548136574071</v>
      </c>
      <c r="B6" s="4">
        <v>45607.563043981485</v>
      </c>
      <c r="C6" s="5" t="s">
        <v>30</v>
      </c>
      <c r="D6" s="5" t="s">
        <v>129</v>
      </c>
      <c r="E6" s="5">
        <v>100</v>
      </c>
      <c r="F6" s="5">
        <v>1287</v>
      </c>
      <c r="G6" s="5" t="b">
        <v>1</v>
      </c>
      <c r="H6" s="4">
        <v>45607.563043981485</v>
      </c>
      <c r="I6" s="5" t="s">
        <v>130</v>
      </c>
      <c r="J6" s="5"/>
      <c r="K6" s="5"/>
      <c r="L6" s="5"/>
      <c r="M6" s="5"/>
      <c r="N6" s="5">
        <v>42.2821</v>
      </c>
      <c r="O6" s="5">
        <v>-71.8262</v>
      </c>
      <c r="P6" s="5" t="s">
        <v>79</v>
      </c>
      <c r="Q6" s="5" t="s">
        <v>80</v>
      </c>
      <c r="R6" s="5">
        <v>1</v>
      </c>
      <c r="S6" s="5" t="s">
        <v>81</v>
      </c>
      <c r="T6" s="5" t="s">
        <v>82</v>
      </c>
      <c r="U6" s="5" t="s">
        <v>83</v>
      </c>
      <c r="V6" s="5" t="s">
        <v>131</v>
      </c>
      <c r="W6" s="5" t="s">
        <v>98</v>
      </c>
      <c r="X6" s="5" t="s">
        <v>128</v>
      </c>
      <c r="Y6" s="5"/>
      <c r="Z6" s="5" t="s">
        <v>87</v>
      </c>
      <c r="AA6" s="5" t="s">
        <v>113</v>
      </c>
      <c r="AB6" s="5" t="s">
        <v>431</v>
      </c>
      <c r="AC6" s="5" t="s">
        <v>431</v>
      </c>
      <c r="AD6" s="5">
        <v>37.113</v>
      </c>
      <c r="AE6" s="5">
        <v>37.113</v>
      </c>
      <c r="AF6" s="5">
        <v>39.366999999999997</v>
      </c>
      <c r="AG6" s="5">
        <v>1</v>
      </c>
      <c r="AH6" s="5">
        <v>90</v>
      </c>
      <c r="AI6" s="5" t="s">
        <v>1030</v>
      </c>
      <c r="AJ6" s="5" t="s">
        <v>431</v>
      </c>
      <c r="AK6" s="5" t="s">
        <v>431</v>
      </c>
      <c r="AL6" s="5">
        <v>44.710999999999999</v>
      </c>
      <c r="AM6" s="5">
        <v>44.710999999999999</v>
      </c>
      <c r="AN6" s="5">
        <v>49.603999999999999</v>
      </c>
      <c r="AO6" s="5">
        <v>1</v>
      </c>
      <c r="AP6" s="5">
        <v>85</v>
      </c>
      <c r="AQ6" s="5" t="s">
        <v>1031</v>
      </c>
      <c r="AR6" s="5" t="s">
        <v>434</v>
      </c>
      <c r="AS6" s="5" t="s">
        <v>434</v>
      </c>
      <c r="AT6" s="5">
        <v>45.567999999999998</v>
      </c>
      <c r="AU6" s="5">
        <v>45.567999999999998</v>
      </c>
      <c r="AV6" s="5">
        <v>52.417999999999999</v>
      </c>
      <c r="AW6" s="5">
        <v>1</v>
      </c>
      <c r="AX6" s="5">
        <v>80</v>
      </c>
      <c r="AY6" s="5" t="s">
        <v>1032</v>
      </c>
      <c r="AZ6" s="5" t="s">
        <v>431</v>
      </c>
      <c r="BA6" s="5" t="s">
        <v>434</v>
      </c>
      <c r="BB6" s="5">
        <v>54.429000000000002</v>
      </c>
      <c r="BC6" s="5">
        <v>54.429000000000002</v>
      </c>
      <c r="BD6" s="5">
        <v>65.983000000000004</v>
      </c>
      <c r="BE6" s="5">
        <v>1</v>
      </c>
      <c r="BF6" s="5">
        <v>60</v>
      </c>
      <c r="BG6" s="5" t="s">
        <v>1033</v>
      </c>
      <c r="BH6" s="5" t="s">
        <v>434</v>
      </c>
      <c r="BI6" s="5" t="s">
        <v>431</v>
      </c>
      <c r="BJ6" s="5">
        <v>33.24</v>
      </c>
      <c r="BK6" s="5">
        <v>50.19</v>
      </c>
      <c r="BL6" s="5">
        <v>52.338999999999999</v>
      </c>
      <c r="BM6" s="5">
        <v>2</v>
      </c>
      <c r="BN6" s="5">
        <v>70</v>
      </c>
      <c r="BO6" s="5" t="s">
        <v>1034</v>
      </c>
      <c r="BP6" s="5" t="s">
        <v>434</v>
      </c>
      <c r="BQ6" s="5" t="s">
        <v>431</v>
      </c>
      <c r="BR6" s="5">
        <v>70.59</v>
      </c>
      <c r="BS6" s="5">
        <v>70.59</v>
      </c>
      <c r="BT6" s="5">
        <v>72.293000000000006</v>
      </c>
      <c r="BU6" s="5">
        <v>1</v>
      </c>
      <c r="BV6" s="5">
        <v>80</v>
      </c>
      <c r="BW6" s="5" t="s">
        <v>1035</v>
      </c>
      <c r="BX6" s="5" t="s">
        <v>434</v>
      </c>
      <c r="BY6" s="5" t="s">
        <v>434</v>
      </c>
      <c r="BZ6" s="5">
        <v>11.132999999999999</v>
      </c>
      <c r="CA6" s="5">
        <v>11.132999999999999</v>
      </c>
      <c r="CB6" s="5">
        <v>17.594000000000001</v>
      </c>
      <c r="CC6" s="5">
        <v>1</v>
      </c>
      <c r="CD6" s="5">
        <v>95</v>
      </c>
      <c r="CE6" s="5" t="s">
        <v>1036</v>
      </c>
      <c r="CF6" s="5" t="s">
        <v>434</v>
      </c>
      <c r="CG6" s="5" t="s">
        <v>434</v>
      </c>
      <c r="CH6" s="5">
        <v>37.826000000000001</v>
      </c>
      <c r="CI6" s="5">
        <v>37.826000000000001</v>
      </c>
      <c r="CJ6" s="5">
        <v>44.401000000000003</v>
      </c>
      <c r="CK6" s="5">
        <v>1</v>
      </c>
      <c r="CL6" s="5">
        <v>80</v>
      </c>
      <c r="CM6" s="5" t="s">
        <v>1037</v>
      </c>
      <c r="CN6" s="5" t="s">
        <v>243</v>
      </c>
      <c r="CO6" s="5" t="s">
        <v>251</v>
      </c>
      <c r="CP6" s="5" t="s">
        <v>246</v>
      </c>
      <c r="CQ6" s="5" t="s">
        <v>262</v>
      </c>
      <c r="CR6" s="5"/>
    </row>
    <row r="7" spans="1:96" x14ac:dyDescent="0.3">
      <c r="A7" s="4">
        <v>45600.481898148151</v>
      </c>
      <c r="B7" s="4">
        <v>45607.59337962963</v>
      </c>
      <c r="C7" s="5" t="s">
        <v>30</v>
      </c>
      <c r="D7" s="5" t="s">
        <v>145</v>
      </c>
      <c r="E7" s="5">
        <v>100</v>
      </c>
      <c r="F7" s="5">
        <v>614431</v>
      </c>
      <c r="G7" s="5" t="b">
        <v>1</v>
      </c>
      <c r="H7" s="4">
        <v>45607.593391203707</v>
      </c>
      <c r="I7" s="5" t="s">
        <v>146</v>
      </c>
      <c r="J7" s="5"/>
      <c r="K7" s="5"/>
      <c r="L7" s="5"/>
      <c r="M7" s="5"/>
      <c r="N7" s="5">
        <v>42.2821</v>
      </c>
      <c r="O7" s="5">
        <v>-71.8262</v>
      </c>
      <c r="P7" s="5" t="s">
        <v>79</v>
      </c>
      <c r="Q7" s="5" t="s">
        <v>80</v>
      </c>
      <c r="R7" s="5">
        <v>1</v>
      </c>
      <c r="S7" s="5" t="s">
        <v>116</v>
      </c>
      <c r="T7" s="5" t="s">
        <v>82</v>
      </c>
      <c r="U7" s="5" t="s">
        <v>83</v>
      </c>
      <c r="V7" s="5" t="s">
        <v>84</v>
      </c>
      <c r="W7" s="5" t="s">
        <v>98</v>
      </c>
      <c r="X7" s="5" t="s">
        <v>86</v>
      </c>
      <c r="Y7" s="5"/>
      <c r="Z7" s="5" t="s">
        <v>87</v>
      </c>
      <c r="AA7" s="5" t="s">
        <v>88</v>
      </c>
      <c r="AB7" s="5" t="s">
        <v>434</v>
      </c>
      <c r="AC7" s="5" t="s">
        <v>431</v>
      </c>
      <c r="AD7" s="5">
        <v>9.7850000000000001</v>
      </c>
      <c r="AE7" s="5">
        <v>9.7850000000000001</v>
      </c>
      <c r="AF7" s="5">
        <v>51.390999999999998</v>
      </c>
      <c r="AG7" s="5">
        <v>1</v>
      </c>
      <c r="AH7" s="5">
        <v>40</v>
      </c>
      <c r="AI7" s="5" t="s">
        <v>1038</v>
      </c>
      <c r="AJ7" s="5" t="s">
        <v>431</v>
      </c>
      <c r="AK7" s="5" t="s">
        <v>431</v>
      </c>
      <c r="AL7" s="5">
        <v>10.95</v>
      </c>
      <c r="AM7" s="5">
        <v>10.95</v>
      </c>
      <c r="AN7" s="5">
        <v>25.564</v>
      </c>
      <c r="AO7" s="5">
        <v>1</v>
      </c>
      <c r="AP7" s="5">
        <v>71</v>
      </c>
      <c r="AQ7" s="5" t="s">
        <v>1039</v>
      </c>
      <c r="AR7" s="5" t="s">
        <v>434</v>
      </c>
      <c r="AS7" s="5" t="s">
        <v>434</v>
      </c>
      <c r="AT7" s="5">
        <v>9.7769999999999992</v>
      </c>
      <c r="AU7" s="5">
        <v>9.7769999999999992</v>
      </c>
      <c r="AV7" s="5">
        <v>44.985999999999997</v>
      </c>
      <c r="AW7" s="5">
        <v>1</v>
      </c>
      <c r="AX7" s="5">
        <v>91</v>
      </c>
      <c r="AY7" s="5" t="s">
        <v>1040</v>
      </c>
      <c r="AZ7" s="5" t="s">
        <v>431</v>
      </c>
      <c r="BA7" s="5" t="s">
        <v>434</v>
      </c>
      <c r="BB7" s="5">
        <v>17.085000000000001</v>
      </c>
      <c r="BC7" s="5">
        <v>17.085000000000001</v>
      </c>
      <c r="BD7" s="5">
        <v>240.49799999999999</v>
      </c>
      <c r="BE7" s="5">
        <v>1</v>
      </c>
      <c r="BF7" s="5">
        <v>30</v>
      </c>
      <c r="BG7" s="5" t="s">
        <v>1041</v>
      </c>
      <c r="BH7" s="5" t="s">
        <v>434</v>
      </c>
      <c r="BI7" s="5" t="s">
        <v>431</v>
      </c>
      <c r="BJ7" s="5">
        <v>24.61</v>
      </c>
      <c r="BK7" s="5">
        <v>2512.6419999999998</v>
      </c>
      <c r="BL7" s="5">
        <v>2513.62</v>
      </c>
      <c r="BM7" s="5">
        <v>2</v>
      </c>
      <c r="BN7" s="5">
        <v>29</v>
      </c>
      <c r="BO7" s="5" t="s">
        <v>1042</v>
      </c>
      <c r="BP7" s="5" t="s">
        <v>434</v>
      </c>
      <c r="BQ7" s="5" t="s">
        <v>431</v>
      </c>
      <c r="BR7" s="5">
        <v>14.679</v>
      </c>
      <c r="BS7" s="5">
        <v>14.679</v>
      </c>
      <c r="BT7" s="5">
        <v>19.378</v>
      </c>
      <c r="BU7" s="5">
        <v>1</v>
      </c>
      <c r="BV7" s="5">
        <v>92</v>
      </c>
      <c r="BW7" s="5" t="s">
        <v>1043</v>
      </c>
      <c r="BX7" s="5" t="s">
        <v>434</v>
      </c>
      <c r="BY7" s="5" t="s">
        <v>434</v>
      </c>
      <c r="BZ7" s="5">
        <v>10.461</v>
      </c>
      <c r="CA7" s="5">
        <v>11.497999999999999</v>
      </c>
      <c r="CB7" s="5">
        <v>11.891</v>
      </c>
      <c r="CC7" s="5">
        <v>2</v>
      </c>
      <c r="CD7" s="5">
        <v>86</v>
      </c>
      <c r="CE7" s="5" t="s">
        <v>1044</v>
      </c>
      <c r="CF7" s="5" t="s">
        <v>434</v>
      </c>
      <c r="CG7" s="5" t="s">
        <v>434</v>
      </c>
      <c r="CH7" s="5">
        <v>10.368</v>
      </c>
      <c r="CI7" s="5">
        <v>10.368</v>
      </c>
      <c r="CJ7" s="5">
        <v>11.693</v>
      </c>
      <c r="CK7" s="5">
        <v>1</v>
      </c>
      <c r="CL7" s="5">
        <v>44</v>
      </c>
      <c r="CM7" s="5"/>
      <c r="CN7" s="5" t="s">
        <v>273</v>
      </c>
      <c r="CO7" s="5" t="s">
        <v>274</v>
      </c>
      <c r="CP7" s="5" t="s">
        <v>275</v>
      </c>
      <c r="CQ7" s="5" t="s">
        <v>276</v>
      </c>
      <c r="CR7" s="5"/>
    </row>
    <row r="8" spans="1:96" x14ac:dyDescent="0.3">
      <c r="A8" s="4">
        <v>45607.67083333333</v>
      </c>
      <c r="B8" s="4">
        <v>45607.697187500002</v>
      </c>
      <c r="C8" s="5" t="s">
        <v>30</v>
      </c>
      <c r="D8" s="5" t="s">
        <v>152</v>
      </c>
      <c r="E8" s="5">
        <v>100</v>
      </c>
      <c r="F8" s="5">
        <v>2277</v>
      </c>
      <c r="G8" s="5" t="b">
        <v>1</v>
      </c>
      <c r="H8" s="4">
        <v>45607.697199074071</v>
      </c>
      <c r="I8" s="5" t="s">
        <v>153</v>
      </c>
      <c r="J8" s="5"/>
      <c r="K8" s="5"/>
      <c r="L8" s="5"/>
      <c r="M8" s="5"/>
      <c r="N8" s="5">
        <v>42.293399999999998</v>
      </c>
      <c r="O8" s="5">
        <v>-71.235600000000005</v>
      </c>
      <c r="P8" s="5" t="s">
        <v>79</v>
      </c>
      <c r="Q8" s="5" t="s">
        <v>80</v>
      </c>
      <c r="R8" s="5">
        <v>1</v>
      </c>
      <c r="S8" s="5" t="s">
        <v>116</v>
      </c>
      <c r="T8" s="5" t="s">
        <v>82</v>
      </c>
      <c r="U8" s="5" t="s">
        <v>83</v>
      </c>
      <c r="V8" s="5" t="s">
        <v>144</v>
      </c>
      <c r="W8" s="5" t="s">
        <v>98</v>
      </c>
      <c r="X8" s="5" t="s">
        <v>95</v>
      </c>
      <c r="Y8" s="5"/>
      <c r="Z8" s="5" t="s">
        <v>140</v>
      </c>
      <c r="AA8" s="5" t="s">
        <v>141</v>
      </c>
      <c r="AB8" s="5" t="s">
        <v>434</v>
      </c>
      <c r="AC8" s="5" t="s">
        <v>431</v>
      </c>
      <c r="AD8" s="5">
        <v>22.806000000000001</v>
      </c>
      <c r="AE8" s="5">
        <v>193.166</v>
      </c>
      <c r="AF8" s="5">
        <v>197.91800000000001</v>
      </c>
      <c r="AG8" s="5">
        <v>6</v>
      </c>
      <c r="AH8" s="5">
        <v>61</v>
      </c>
      <c r="AI8" s="5" t="s">
        <v>1045</v>
      </c>
      <c r="AJ8" s="5" t="s">
        <v>434</v>
      </c>
      <c r="AK8" s="5" t="s">
        <v>431</v>
      </c>
      <c r="AL8" s="5">
        <v>8.0850000000000009</v>
      </c>
      <c r="AM8" s="5">
        <v>201.07499999999999</v>
      </c>
      <c r="AN8" s="5">
        <v>203.64099999999999</v>
      </c>
      <c r="AO8" s="5">
        <v>4</v>
      </c>
      <c r="AP8" s="5">
        <v>82</v>
      </c>
      <c r="AQ8" s="5" t="s">
        <v>1046</v>
      </c>
      <c r="AR8" s="5" t="s">
        <v>434</v>
      </c>
      <c r="AS8" s="5" t="s">
        <v>434</v>
      </c>
      <c r="AT8" s="5">
        <v>90.230999999999995</v>
      </c>
      <c r="AU8" s="5">
        <v>90.230999999999995</v>
      </c>
      <c r="AV8" s="5">
        <v>92.832999999999998</v>
      </c>
      <c r="AW8" s="5">
        <v>1</v>
      </c>
      <c r="AX8" s="5">
        <v>82</v>
      </c>
      <c r="AY8" s="5" t="s">
        <v>1047</v>
      </c>
      <c r="AZ8" s="5" t="s">
        <v>431</v>
      </c>
      <c r="BA8" s="5" t="s">
        <v>434</v>
      </c>
      <c r="BB8" s="5">
        <v>100.55</v>
      </c>
      <c r="BC8" s="5">
        <v>100.55</v>
      </c>
      <c r="BD8" s="5">
        <v>103.20099999999999</v>
      </c>
      <c r="BE8" s="5">
        <v>1</v>
      </c>
      <c r="BF8" s="5">
        <v>82</v>
      </c>
      <c r="BG8" s="5" t="s">
        <v>1048</v>
      </c>
      <c r="BH8" s="5" t="s">
        <v>431</v>
      </c>
      <c r="BI8" s="5" t="s">
        <v>431</v>
      </c>
      <c r="BJ8" s="5">
        <v>213.17500000000001</v>
      </c>
      <c r="BK8" s="5">
        <v>213.17500000000001</v>
      </c>
      <c r="BL8" s="5">
        <v>217.506</v>
      </c>
      <c r="BM8" s="5">
        <v>1</v>
      </c>
      <c r="BN8" s="5">
        <v>60</v>
      </c>
      <c r="BO8" s="5" t="s">
        <v>1049</v>
      </c>
      <c r="BP8" s="5" t="s">
        <v>431</v>
      </c>
      <c r="BQ8" s="5" t="s">
        <v>431</v>
      </c>
      <c r="BR8" s="5">
        <v>75.150999999999996</v>
      </c>
      <c r="BS8" s="5">
        <v>75.150999999999996</v>
      </c>
      <c r="BT8" s="5">
        <v>81.400999999999996</v>
      </c>
      <c r="BU8" s="5">
        <v>1</v>
      </c>
      <c r="BV8" s="5">
        <v>89</v>
      </c>
      <c r="BW8" s="5" t="s">
        <v>1050</v>
      </c>
      <c r="BX8" s="5" t="s">
        <v>434</v>
      </c>
      <c r="BY8" s="5" t="s">
        <v>434</v>
      </c>
      <c r="BZ8" s="5">
        <v>44.204999999999998</v>
      </c>
      <c r="CA8" s="5">
        <v>44.204999999999998</v>
      </c>
      <c r="CB8" s="5">
        <v>46.88</v>
      </c>
      <c r="CC8" s="5">
        <v>1</v>
      </c>
      <c r="CD8" s="5">
        <v>91</v>
      </c>
      <c r="CE8" s="5" t="s">
        <v>1051</v>
      </c>
      <c r="CF8" s="5" t="s">
        <v>434</v>
      </c>
      <c r="CG8" s="5" t="s">
        <v>434</v>
      </c>
      <c r="CH8" s="5">
        <v>110.614</v>
      </c>
      <c r="CI8" s="5">
        <v>110.614</v>
      </c>
      <c r="CJ8" s="5">
        <v>112.199</v>
      </c>
      <c r="CK8" s="5">
        <v>1</v>
      </c>
      <c r="CL8" s="5">
        <v>84</v>
      </c>
      <c r="CM8" s="5" t="s">
        <v>1052</v>
      </c>
      <c r="CN8" s="5" t="s">
        <v>255</v>
      </c>
      <c r="CO8" s="5" t="s">
        <v>244</v>
      </c>
      <c r="CP8" s="5" t="s">
        <v>279</v>
      </c>
      <c r="CQ8" s="5" t="s">
        <v>279</v>
      </c>
      <c r="CR8" s="5"/>
    </row>
    <row r="9" spans="1:96" x14ac:dyDescent="0.3">
      <c r="A9" s="4">
        <v>45608.436921296299</v>
      </c>
      <c r="B9" s="4">
        <v>45608.458831018521</v>
      </c>
      <c r="C9" s="5" t="s">
        <v>30</v>
      </c>
      <c r="D9" s="5" t="s">
        <v>171</v>
      </c>
      <c r="E9" s="5">
        <v>100</v>
      </c>
      <c r="F9" s="5">
        <v>1893</v>
      </c>
      <c r="G9" s="5" t="b">
        <v>1</v>
      </c>
      <c r="H9" s="4">
        <v>45608.45884259259</v>
      </c>
      <c r="I9" s="5" t="s">
        <v>172</v>
      </c>
      <c r="J9" s="5"/>
      <c r="K9" s="5"/>
      <c r="L9" s="5"/>
      <c r="M9" s="5"/>
      <c r="N9" s="5">
        <v>42.2821</v>
      </c>
      <c r="O9" s="5">
        <v>-71.8262</v>
      </c>
      <c r="P9" s="5" t="s">
        <v>79</v>
      </c>
      <c r="Q9" s="5" t="s">
        <v>80</v>
      </c>
      <c r="R9" s="5">
        <v>1</v>
      </c>
      <c r="S9" s="5" t="s">
        <v>116</v>
      </c>
      <c r="T9" s="5" t="s">
        <v>82</v>
      </c>
      <c r="U9" s="5" t="s">
        <v>83</v>
      </c>
      <c r="V9" s="5" t="s">
        <v>84</v>
      </c>
      <c r="W9" s="5" t="s">
        <v>98</v>
      </c>
      <c r="X9" s="5" t="s">
        <v>128</v>
      </c>
      <c r="Y9" s="5"/>
      <c r="Z9" s="5" t="s">
        <v>87</v>
      </c>
      <c r="AA9" s="5" t="s">
        <v>88</v>
      </c>
      <c r="AB9" s="5" t="s">
        <v>434</v>
      </c>
      <c r="AC9" s="5" t="s">
        <v>431</v>
      </c>
      <c r="AD9" s="5">
        <v>40.085000000000001</v>
      </c>
      <c r="AE9" s="5">
        <v>128.584</v>
      </c>
      <c r="AF9" s="5">
        <v>129.708</v>
      </c>
      <c r="AG9" s="5">
        <v>4</v>
      </c>
      <c r="AH9" s="5">
        <v>99</v>
      </c>
      <c r="AI9" s="5" t="s">
        <v>1053</v>
      </c>
      <c r="AJ9" s="5" t="s">
        <v>431</v>
      </c>
      <c r="AK9" s="5" t="s">
        <v>431</v>
      </c>
      <c r="AL9" s="5">
        <v>14.534000000000001</v>
      </c>
      <c r="AM9" s="5">
        <v>14.534000000000001</v>
      </c>
      <c r="AN9" s="5">
        <v>53.243000000000002</v>
      </c>
      <c r="AO9" s="5">
        <v>1</v>
      </c>
      <c r="AP9" s="5">
        <v>97</v>
      </c>
      <c r="AQ9" s="5" t="s">
        <v>1054</v>
      </c>
      <c r="AR9" s="5" t="s">
        <v>434</v>
      </c>
      <c r="AS9" s="5" t="s">
        <v>434</v>
      </c>
      <c r="AT9" s="5">
        <v>16.25</v>
      </c>
      <c r="AU9" s="5">
        <v>16.25</v>
      </c>
      <c r="AV9" s="5">
        <v>17.805</v>
      </c>
      <c r="AW9" s="5">
        <v>1</v>
      </c>
      <c r="AX9" s="5">
        <v>100</v>
      </c>
      <c r="AY9" s="5" t="s">
        <v>1055</v>
      </c>
      <c r="AZ9" s="5" t="s">
        <v>431</v>
      </c>
      <c r="BA9" s="5" t="s">
        <v>434</v>
      </c>
      <c r="BB9" s="5">
        <v>36.674999999999997</v>
      </c>
      <c r="BC9" s="5">
        <v>36.674999999999997</v>
      </c>
      <c r="BD9" s="5">
        <v>38.267000000000003</v>
      </c>
      <c r="BE9" s="5">
        <v>1</v>
      </c>
      <c r="BF9" s="5">
        <v>100</v>
      </c>
      <c r="BG9" s="5" t="s">
        <v>1056</v>
      </c>
      <c r="BH9" s="5" t="s">
        <v>434</v>
      </c>
      <c r="BI9" s="5" t="s">
        <v>431</v>
      </c>
      <c r="BJ9" s="5">
        <v>42.012999999999998</v>
      </c>
      <c r="BK9" s="5">
        <v>57.165999999999997</v>
      </c>
      <c r="BL9" s="5">
        <v>58.365000000000002</v>
      </c>
      <c r="BM9" s="5">
        <v>2</v>
      </c>
      <c r="BN9" s="5">
        <v>95</v>
      </c>
      <c r="BO9" s="5" t="s">
        <v>1057</v>
      </c>
      <c r="BP9" s="5" t="s">
        <v>431</v>
      </c>
      <c r="BQ9" s="5" t="s">
        <v>431</v>
      </c>
      <c r="BR9" s="5">
        <v>117.947</v>
      </c>
      <c r="BS9" s="5">
        <v>117.947</v>
      </c>
      <c r="BT9" s="5">
        <v>120.437</v>
      </c>
      <c r="BU9" s="5">
        <v>1</v>
      </c>
      <c r="BV9" s="5">
        <v>99</v>
      </c>
      <c r="BW9" s="5" t="s">
        <v>1058</v>
      </c>
      <c r="BX9" s="5" t="s">
        <v>431</v>
      </c>
      <c r="BY9" s="5" t="s">
        <v>434</v>
      </c>
      <c r="BZ9" s="5">
        <v>129.70699999999999</v>
      </c>
      <c r="CA9" s="5">
        <v>129.70699999999999</v>
      </c>
      <c r="CB9" s="5">
        <v>131.708</v>
      </c>
      <c r="CC9" s="5">
        <v>1</v>
      </c>
      <c r="CD9" s="5">
        <v>99</v>
      </c>
      <c r="CE9" s="5" t="s">
        <v>1059</v>
      </c>
      <c r="CF9" s="5" t="s">
        <v>431</v>
      </c>
      <c r="CG9" s="5" t="s">
        <v>434</v>
      </c>
      <c r="CH9" s="5">
        <v>140.56899999999999</v>
      </c>
      <c r="CI9" s="5">
        <v>140.56899999999999</v>
      </c>
      <c r="CJ9" s="5">
        <v>141.44999999999999</v>
      </c>
      <c r="CK9" s="5">
        <v>1</v>
      </c>
      <c r="CL9" s="5">
        <v>100</v>
      </c>
      <c r="CM9" s="5" t="s">
        <v>1060</v>
      </c>
      <c r="CN9" s="5" t="s">
        <v>246</v>
      </c>
      <c r="CO9" s="5" t="s">
        <v>244</v>
      </c>
      <c r="CP9" s="5" t="s">
        <v>244</v>
      </c>
      <c r="CQ9" s="5" t="s">
        <v>277</v>
      </c>
      <c r="CR9" s="5"/>
    </row>
    <row r="10" spans="1:96" x14ac:dyDescent="0.3">
      <c r="A10" s="4">
        <v>45608.438587962963</v>
      </c>
      <c r="B10" s="4">
        <v>45608.495393518519</v>
      </c>
      <c r="C10" s="5" t="s">
        <v>30</v>
      </c>
      <c r="D10" s="5" t="s">
        <v>176</v>
      </c>
      <c r="E10" s="5">
        <v>100</v>
      </c>
      <c r="F10" s="5">
        <v>4907</v>
      </c>
      <c r="G10" s="5" t="b">
        <v>1</v>
      </c>
      <c r="H10" s="4">
        <v>45608.495405092595</v>
      </c>
      <c r="I10" s="5" t="s">
        <v>177</v>
      </c>
      <c r="J10" s="5"/>
      <c r="K10" s="5"/>
      <c r="L10" s="5"/>
      <c r="M10" s="5"/>
      <c r="N10" s="5">
        <v>42.2821</v>
      </c>
      <c r="O10" s="5">
        <v>-71.8262</v>
      </c>
      <c r="P10" s="5" t="s">
        <v>79</v>
      </c>
      <c r="Q10" s="5" t="s">
        <v>80</v>
      </c>
      <c r="R10" s="5">
        <v>1</v>
      </c>
      <c r="S10" s="5" t="s">
        <v>116</v>
      </c>
      <c r="T10" s="5" t="s">
        <v>82</v>
      </c>
      <c r="U10" s="5" t="s">
        <v>83</v>
      </c>
      <c r="V10" s="5" t="s">
        <v>144</v>
      </c>
      <c r="W10" s="5" t="s">
        <v>98</v>
      </c>
      <c r="X10" s="5" t="s">
        <v>128</v>
      </c>
      <c r="Y10" s="5"/>
      <c r="Z10" s="5" t="s">
        <v>87</v>
      </c>
      <c r="AA10" s="5" t="s">
        <v>178</v>
      </c>
      <c r="AB10" s="5" t="s">
        <v>431</v>
      </c>
      <c r="AC10" s="5" t="s">
        <v>431</v>
      </c>
      <c r="AD10" s="5">
        <v>20.896000000000001</v>
      </c>
      <c r="AE10" s="5">
        <v>20.896000000000001</v>
      </c>
      <c r="AF10" s="5">
        <v>23.463000000000001</v>
      </c>
      <c r="AG10" s="5">
        <v>1</v>
      </c>
      <c r="AH10" s="5">
        <v>73</v>
      </c>
      <c r="AI10" s="5" t="s">
        <v>1061</v>
      </c>
      <c r="AJ10" s="5" t="s">
        <v>431</v>
      </c>
      <c r="AK10" s="5" t="s">
        <v>431</v>
      </c>
      <c r="AL10" s="5">
        <v>15.964</v>
      </c>
      <c r="AM10" s="5">
        <v>15.964</v>
      </c>
      <c r="AN10" s="5">
        <v>17.427</v>
      </c>
      <c r="AO10" s="5">
        <v>1</v>
      </c>
      <c r="AP10" s="5">
        <v>61</v>
      </c>
      <c r="AQ10" s="5" t="s">
        <v>1062</v>
      </c>
      <c r="AR10" s="5" t="s">
        <v>434</v>
      </c>
      <c r="AS10" s="5" t="s">
        <v>434</v>
      </c>
      <c r="AT10" s="5">
        <v>8.9640000000000004</v>
      </c>
      <c r="AU10" s="5">
        <v>8.9640000000000004</v>
      </c>
      <c r="AV10" s="5">
        <v>14.949</v>
      </c>
      <c r="AW10" s="5">
        <v>1</v>
      </c>
      <c r="AX10" s="5">
        <v>39</v>
      </c>
      <c r="AY10" s="5"/>
      <c r="AZ10" s="5" t="s">
        <v>431</v>
      </c>
      <c r="BA10" s="5" t="s">
        <v>434</v>
      </c>
      <c r="BB10" s="5">
        <v>19.391999999999999</v>
      </c>
      <c r="BC10" s="5">
        <v>19.391999999999999</v>
      </c>
      <c r="BD10" s="5">
        <v>30.888000000000002</v>
      </c>
      <c r="BE10" s="5">
        <v>1</v>
      </c>
      <c r="BF10" s="5">
        <v>35</v>
      </c>
      <c r="BG10" s="5" t="s">
        <v>1063</v>
      </c>
      <c r="BH10" s="5" t="s">
        <v>431</v>
      </c>
      <c r="BI10" s="5" t="s">
        <v>431</v>
      </c>
      <c r="BJ10" s="5">
        <v>18.797000000000001</v>
      </c>
      <c r="BK10" s="5">
        <v>18.797000000000001</v>
      </c>
      <c r="BL10" s="5">
        <v>20.468</v>
      </c>
      <c r="BM10" s="5">
        <v>1</v>
      </c>
      <c r="BN10" s="5">
        <v>55</v>
      </c>
      <c r="BO10" s="5" t="s">
        <v>1064</v>
      </c>
      <c r="BP10" s="5" t="s">
        <v>431</v>
      </c>
      <c r="BQ10" s="5" t="s">
        <v>431</v>
      </c>
      <c r="BR10" s="5">
        <v>21.364000000000001</v>
      </c>
      <c r="BS10" s="5">
        <v>21.364000000000001</v>
      </c>
      <c r="BT10" s="5">
        <v>23.148</v>
      </c>
      <c r="BU10" s="5">
        <v>1</v>
      </c>
      <c r="BV10" s="5">
        <v>34</v>
      </c>
      <c r="BW10" s="5" t="s">
        <v>1065</v>
      </c>
      <c r="BX10" s="5" t="s">
        <v>434</v>
      </c>
      <c r="BY10" s="5" t="s">
        <v>434</v>
      </c>
      <c r="BZ10" s="5">
        <v>8.0399999999999991</v>
      </c>
      <c r="CA10" s="5">
        <v>8.0399999999999991</v>
      </c>
      <c r="CB10" s="5">
        <v>15.298999999999999</v>
      </c>
      <c r="CC10" s="5">
        <v>1</v>
      </c>
      <c r="CD10" s="5">
        <v>65</v>
      </c>
      <c r="CE10" s="5" t="s">
        <v>1066</v>
      </c>
      <c r="CF10" s="5" t="s">
        <v>431</v>
      </c>
      <c r="CG10" s="5" t="s">
        <v>434</v>
      </c>
      <c r="CH10" s="5">
        <v>3267.0219999999999</v>
      </c>
      <c r="CI10" s="5">
        <v>3267.0219999999999</v>
      </c>
      <c r="CJ10" s="5">
        <v>3268.9760000000001</v>
      </c>
      <c r="CK10" s="5">
        <v>1</v>
      </c>
      <c r="CL10" s="5">
        <v>41</v>
      </c>
      <c r="CM10" s="5" t="s">
        <v>1067</v>
      </c>
      <c r="CN10" s="5" t="s">
        <v>287</v>
      </c>
      <c r="CO10" s="5" t="s">
        <v>244</v>
      </c>
      <c r="CP10" s="5" t="s">
        <v>246</v>
      </c>
      <c r="CQ10" s="5" t="s">
        <v>287</v>
      </c>
      <c r="CR10" s="5"/>
    </row>
    <row r="11" spans="1:96" x14ac:dyDescent="0.3">
      <c r="A11" s="4">
        <v>45608.584490740737</v>
      </c>
      <c r="B11" s="4">
        <v>45608.593912037039</v>
      </c>
      <c r="C11" s="5" t="s">
        <v>30</v>
      </c>
      <c r="D11" s="5" t="s">
        <v>185</v>
      </c>
      <c r="E11" s="5">
        <v>100</v>
      </c>
      <c r="F11" s="5">
        <v>813</v>
      </c>
      <c r="G11" s="5" t="b">
        <v>1</v>
      </c>
      <c r="H11" s="4">
        <v>45608.593912037039</v>
      </c>
      <c r="I11" s="5" t="s">
        <v>186</v>
      </c>
      <c r="J11" s="5"/>
      <c r="K11" s="5"/>
      <c r="L11" s="5"/>
      <c r="M11" s="5"/>
      <c r="N11" s="5">
        <v>42.255499999999998</v>
      </c>
      <c r="O11" s="5">
        <v>-71.771900000000002</v>
      </c>
      <c r="P11" s="5" t="s">
        <v>79</v>
      </c>
      <c r="Q11" s="5" t="s">
        <v>80</v>
      </c>
      <c r="R11" s="5">
        <v>1</v>
      </c>
      <c r="S11" s="5" t="s">
        <v>116</v>
      </c>
      <c r="T11" s="5" t="s">
        <v>82</v>
      </c>
      <c r="U11" s="5" t="s">
        <v>83</v>
      </c>
      <c r="V11" s="5" t="s">
        <v>187</v>
      </c>
      <c r="W11" s="5" t="s">
        <v>85</v>
      </c>
      <c r="X11" s="5" t="s">
        <v>95</v>
      </c>
      <c r="Y11" s="5"/>
      <c r="Z11" s="5" t="s">
        <v>140</v>
      </c>
      <c r="AA11" s="5" t="s">
        <v>113</v>
      </c>
      <c r="AB11" s="5" t="s">
        <v>434</v>
      </c>
      <c r="AC11" s="5" t="s">
        <v>431</v>
      </c>
      <c r="AD11" s="5">
        <v>1.6850000000000001</v>
      </c>
      <c r="AE11" s="5">
        <v>95.022000000000006</v>
      </c>
      <c r="AF11" s="5">
        <v>96.546999999999997</v>
      </c>
      <c r="AG11" s="5">
        <v>9</v>
      </c>
      <c r="AH11" s="5">
        <v>81</v>
      </c>
      <c r="AI11" s="5" t="s">
        <v>1068</v>
      </c>
      <c r="AJ11" s="5" t="s">
        <v>431</v>
      </c>
      <c r="AK11" s="5" t="s">
        <v>431</v>
      </c>
      <c r="AL11" s="5">
        <v>1.1839999999999999</v>
      </c>
      <c r="AM11" s="5">
        <v>31.742000000000001</v>
      </c>
      <c r="AN11" s="5">
        <v>32.302</v>
      </c>
      <c r="AO11" s="5">
        <v>7</v>
      </c>
      <c r="AP11" s="5">
        <v>82</v>
      </c>
      <c r="AQ11" s="5" t="s">
        <v>1069</v>
      </c>
      <c r="AR11" s="5" t="s">
        <v>434</v>
      </c>
      <c r="AS11" s="5" t="s">
        <v>434</v>
      </c>
      <c r="AT11" s="5">
        <v>3.7959999999999998</v>
      </c>
      <c r="AU11" s="5">
        <v>23.641999999999999</v>
      </c>
      <c r="AV11" s="5">
        <v>24.314</v>
      </c>
      <c r="AW11" s="5">
        <v>2</v>
      </c>
      <c r="AX11" s="5">
        <v>80</v>
      </c>
      <c r="AY11" s="5" t="s">
        <v>1070</v>
      </c>
      <c r="AZ11" s="5" t="s">
        <v>434</v>
      </c>
      <c r="BA11" s="5" t="s">
        <v>434</v>
      </c>
      <c r="BB11" s="5">
        <v>3.266</v>
      </c>
      <c r="BC11" s="5">
        <v>37.335000000000001</v>
      </c>
      <c r="BD11" s="5">
        <v>38.131</v>
      </c>
      <c r="BE11" s="5">
        <v>2</v>
      </c>
      <c r="BF11" s="5">
        <v>82</v>
      </c>
      <c r="BG11" s="5" t="s">
        <v>1071</v>
      </c>
      <c r="BH11" s="5" t="s">
        <v>434</v>
      </c>
      <c r="BI11" s="5" t="s">
        <v>431</v>
      </c>
      <c r="BJ11" s="5">
        <v>3.3660000000000001</v>
      </c>
      <c r="BK11" s="5">
        <v>63.128</v>
      </c>
      <c r="BL11" s="5">
        <v>63.817999999999998</v>
      </c>
      <c r="BM11" s="5">
        <v>2</v>
      </c>
      <c r="BN11" s="5">
        <v>82</v>
      </c>
      <c r="BO11" s="5" t="s">
        <v>1072</v>
      </c>
      <c r="BP11" s="5" t="s">
        <v>431</v>
      </c>
      <c r="BQ11" s="5" t="s">
        <v>431</v>
      </c>
      <c r="BR11" s="5">
        <v>4.234</v>
      </c>
      <c r="BS11" s="5">
        <v>36.328000000000003</v>
      </c>
      <c r="BT11" s="5">
        <v>36.963000000000001</v>
      </c>
      <c r="BU11" s="5">
        <v>2</v>
      </c>
      <c r="BV11" s="5">
        <v>81</v>
      </c>
      <c r="BW11" s="5" t="s">
        <v>1073</v>
      </c>
      <c r="BX11" s="5" t="s">
        <v>434</v>
      </c>
      <c r="BY11" s="5" t="s">
        <v>434</v>
      </c>
      <c r="BZ11" s="5">
        <v>3.4980000000000002</v>
      </c>
      <c r="CA11" s="5">
        <v>60.268999999999998</v>
      </c>
      <c r="CB11" s="5">
        <v>65.787999999999997</v>
      </c>
      <c r="CC11" s="5">
        <v>2</v>
      </c>
      <c r="CD11" s="5">
        <v>74</v>
      </c>
      <c r="CE11" s="5" t="s">
        <v>1074</v>
      </c>
      <c r="CF11" s="5" t="s">
        <v>431</v>
      </c>
      <c r="CG11" s="5" t="s">
        <v>434</v>
      </c>
      <c r="CH11" s="5">
        <v>0.50800000000000001</v>
      </c>
      <c r="CI11" s="5">
        <v>25.251999999999999</v>
      </c>
      <c r="CJ11" s="5">
        <v>26.053000000000001</v>
      </c>
      <c r="CK11" s="5">
        <v>7</v>
      </c>
      <c r="CL11" s="5">
        <v>79</v>
      </c>
      <c r="CM11" s="5" t="s">
        <v>1075</v>
      </c>
      <c r="CN11" s="5" t="s">
        <v>279</v>
      </c>
      <c r="CO11" s="5" t="s">
        <v>244</v>
      </c>
      <c r="CP11" s="5" t="s">
        <v>287</v>
      </c>
      <c r="CQ11" s="5" t="s">
        <v>260</v>
      </c>
      <c r="CR11" s="5"/>
    </row>
    <row r="12" spans="1:96" x14ac:dyDescent="0.3">
      <c r="A12" s="4">
        <v>45608.628634259258</v>
      </c>
      <c r="B12" s="4">
        <v>45608.647407407407</v>
      </c>
      <c r="C12" s="5" t="s">
        <v>30</v>
      </c>
      <c r="D12" s="5" t="s">
        <v>197</v>
      </c>
      <c r="E12" s="5">
        <v>100</v>
      </c>
      <c r="F12" s="5">
        <v>1621</v>
      </c>
      <c r="G12" s="5" t="b">
        <v>1</v>
      </c>
      <c r="H12" s="4">
        <v>45608.647418981483</v>
      </c>
      <c r="I12" s="5" t="s">
        <v>198</v>
      </c>
      <c r="J12" s="5"/>
      <c r="K12" s="5"/>
      <c r="L12" s="5"/>
      <c r="M12" s="5"/>
      <c r="N12" s="5">
        <v>42.2821</v>
      </c>
      <c r="O12" s="5">
        <v>-71.8262</v>
      </c>
      <c r="P12" s="5" t="s">
        <v>79</v>
      </c>
      <c r="Q12" s="5" t="s">
        <v>80</v>
      </c>
      <c r="R12" s="5">
        <v>1</v>
      </c>
      <c r="S12" s="5" t="s">
        <v>103</v>
      </c>
      <c r="T12" s="5">
        <v>131</v>
      </c>
      <c r="U12" s="5" t="s">
        <v>199</v>
      </c>
      <c r="V12" s="5" t="s">
        <v>200</v>
      </c>
      <c r="W12" s="5" t="s">
        <v>98</v>
      </c>
      <c r="X12" s="5" t="s">
        <v>86</v>
      </c>
      <c r="Y12" s="5"/>
      <c r="Z12" s="5" t="s">
        <v>118</v>
      </c>
      <c r="AA12" s="5" t="s">
        <v>201</v>
      </c>
      <c r="AB12" s="5" t="s">
        <v>431</v>
      </c>
      <c r="AC12" s="5" t="s">
        <v>431</v>
      </c>
      <c r="AD12" s="5">
        <v>142.22300000000001</v>
      </c>
      <c r="AE12" s="5">
        <v>162.03700000000001</v>
      </c>
      <c r="AF12" s="5">
        <v>174.45099999999999</v>
      </c>
      <c r="AG12" s="5">
        <v>2</v>
      </c>
      <c r="AH12" s="5">
        <v>66</v>
      </c>
      <c r="AI12" s="5" t="s">
        <v>1076</v>
      </c>
      <c r="AJ12" s="5" t="s">
        <v>434</v>
      </c>
      <c r="AK12" s="5" t="s">
        <v>431</v>
      </c>
      <c r="AL12" s="5">
        <v>57.06</v>
      </c>
      <c r="AM12" s="5">
        <v>57.06</v>
      </c>
      <c r="AN12" s="5">
        <v>59.892000000000003</v>
      </c>
      <c r="AO12" s="5">
        <v>1</v>
      </c>
      <c r="AP12" s="5">
        <v>80</v>
      </c>
      <c r="AQ12" s="5" t="s">
        <v>1077</v>
      </c>
      <c r="AR12" s="5" t="s">
        <v>431</v>
      </c>
      <c r="AS12" s="5" t="s">
        <v>434</v>
      </c>
      <c r="AT12" s="5">
        <v>14.035</v>
      </c>
      <c r="AU12" s="5">
        <v>14.035</v>
      </c>
      <c r="AV12" s="5">
        <v>23.722999999999999</v>
      </c>
      <c r="AW12" s="5">
        <v>1</v>
      </c>
      <c r="AX12" s="5">
        <v>100</v>
      </c>
      <c r="AY12" s="5" t="s">
        <v>1078</v>
      </c>
      <c r="AZ12" s="5" t="s">
        <v>434</v>
      </c>
      <c r="BA12" s="5" t="s">
        <v>434</v>
      </c>
      <c r="BB12" s="5">
        <v>28.219000000000001</v>
      </c>
      <c r="BC12" s="5">
        <v>28.219000000000001</v>
      </c>
      <c r="BD12" s="5">
        <v>35.546999999999997</v>
      </c>
      <c r="BE12" s="5">
        <v>1</v>
      </c>
      <c r="BF12" s="5">
        <v>20</v>
      </c>
      <c r="BG12" s="5" t="s">
        <v>1079</v>
      </c>
      <c r="BH12" s="5" t="s">
        <v>431</v>
      </c>
      <c r="BI12" s="5" t="s">
        <v>431</v>
      </c>
      <c r="BJ12" s="5">
        <v>36.491</v>
      </c>
      <c r="BK12" s="5">
        <v>53.396999999999998</v>
      </c>
      <c r="BL12" s="5">
        <v>54.078000000000003</v>
      </c>
      <c r="BM12" s="5">
        <v>3</v>
      </c>
      <c r="BN12" s="5">
        <v>71</v>
      </c>
      <c r="BO12" s="5" t="s">
        <v>1080</v>
      </c>
      <c r="BP12" s="5" t="s">
        <v>431</v>
      </c>
      <c r="BQ12" s="5" t="s">
        <v>431</v>
      </c>
      <c r="BR12" s="5">
        <v>117.851</v>
      </c>
      <c r="BS12" s="5">
        <v>117.851</v>
      </c>
      <c r="BT12" s="5">
        <v>118.995</v>
      </c>
      <c r="BU12" s="5">
        <v>1</v>
      </c>
      <c r="BV12" s="5">
        <v>73</v>
      </c>
      <c r="BW12" s="5" t="s">
        <v>1081</v>
      </c>
      <c r="BX12" s="5" t="s">
        <v>434</v>
      </c>
      <c r="BY12" s="5" t="s">
        <v>434</v>
      </c>
      <c r="BZ12" s="5">
        <v>46.939</v>
      </c>
      <c r="CA12" s="5">
        <v>46.939</v>
      </c>
      <c r="CB12" s="5">
        <v>71.641999999999996</v>
      </c>
      <c r="CC12" s="5">
        <v>1</v>
      </c>
      <c r="CD12" s="5">
        <v>93</v>
      </c>
      <c r="CE12" s="5" t="s">
        <v>1082</v>
      </c>
      <c r="CF12" s="5" t="s">
        <v>431</v>
      </c>
      <c r="CG12" s="5" t="s">
        <v>434</v>
      </c>
      <c r="CH12" s="5">
        <v>13.72</v>
      </c>
      <c r="CI12" s="5">
        <v>64.847999999999999</v>
      </c>
      <c r="CJ12" s="5">
        <v>69.093000000000004</v>
      </c>
      <c r="CK12" s="5">
        <v>4</v>
      </c>
      <c r="CL12" s="5">
        <v>81</v>
      </c>
      <c r="CM12" s="5" t="s">
        <v>1083</v>
      </c>
      <c r="CN12" s="5" t="s">
        <v>297</v>
      </c>
      <c r="CO12" s="5" t="s">
        <v>287</v>
      </c>
      <c r="CP12" s="5" t="s">
        <v>294</v>
      </c>
      <c r="CQ12" s="5" t="s">
        <v>262</v>
      </c>
      <c r="CR12" s="5"/>
    </row>
    <row r="13" spans="1:96" x14ac:dyDescent="0.3">
      <c r="A13" s="4">
        <v>45608.695613425924</v>
      </c>
      <c r="B13" s="4">
        <v>45608.709120370368</v>
      </c>
      <c r="C13" s="5" t="s">
        <v>30</v>
      </c>
      <c r="D13" s="5" t="s">
        <v>208</v>
      </c>
      <c r="E13" s="5">
        <v>100</v>
      </c>
      <c r="F13" s="5">
        <v>1167</v>
      </c>
      <c r="G13" s="5" t="b">
        <v>1</v>
      </c>
      <c r="H13" s="4">
        <v>45608.709131944444</v>
      </c>
      <c r="I13" s="5" t="s">
        <v>209</v>
      </c>
      <c r="J13" s="5"/>
      <c r="K13" s="5"/>
      <c r="L13" s="5"/>
      <c r="M13" s="5"/>
      <c r="N13" s="5">
        <v>42.290399999999998</v>
      </c>
      <c r="O13" s="5">
        <v>-71.071200000000005</v>
      </c>
      <c r="P13" s="5" t="s">
        <v>79</v>
      </c>
      <c r="Q13" s="5" t="s">
        <v>80</v>
      </c>
      <c r="R13" s="5">
        <v>1</v>
      </c>
      <c r="S13" s="5" t="s">
        <v>116</v>
      </c>
      <c r="T13" s="5" t="s">
        <v>82</v>
      </c>
      <c r="U13" s="5" t="s">
        <v>83</v>
      </c>
      <c r="V13" s="5" t="s">
        <v>210</v>
      </c>
      <c r="W13" s="5" t="s">
        <v>98</v>
      </c>
      <c r="X13" s="5" t="s">
        <v>128</v>
      </c>
      <c r="Y13" s="5"/>
      <c r="Z13" s="5" t="s">
        <v>87</v>
      </c>
      <c r="AA13" s="5" t="s">
        <v>88</v>
      </c>
      <c r="AB13" s="5" t="s">
        <v>431</v>
      </c>
      <c r="AC13" s="5" t="s">
        <v>431</v>
      </c>
      <c r="AD13" s="5">
        <v>145.09100000000001</v>
      </c>
      <c r="AE13" s="5">
        <v>193.261</v>
      </c>
      <c r="AF13" s="5">
        <v>193.95400000000001</v>
      </c>
      <c r="AG13" s="5">
        <v>3</v>
      </c>
      <c r="AH13" s="5">
        <v>60</v>
      </c>
      <c r="AI13" s="5" t="s">
        <v>1084</v>
      </c>
      <c r="AJ13" s="5" t="s">
        <v>431</v>
      </c>
      <c r="AK13" s="5" t="s">
        <v>431</v>
      </c>
      <c r="AL13" s="5">
        <v>26.132000000000001</v>
      </c>
      <c r="AM13" s="5">
        <v>44.127000000000002</v>
      </c>
      <c r="AN13" s="5">
        <v>45.470999999999997</v>
      </c>
      <c r="AO13" s="5">
        <v>2</v>
      </c>
      <c r="AP13" s="5">
        <v>90</v>
      </c>
      <c r="AQ13" s="5" t="s">
        <v>1085</v>
      </c>
      <c r="AR13" s="5" t="s">
        <v>434</v>
      </c>
      <c r="AS13" s="5" t="s">
        <v>434</v>
      </c>
      <c r="AT13" s="5">
        <v>52.09</v>
      </c>
      <c r="AU13" s="5">
        <v>52.09</v>
      </c>
      <c r="AV13" s="5">
        <v>55.018999999999998</v>
      </c>
      <c r="AW13" s="5">
        <v>1</v>
      </c>
      <c r="AX13" s="5">
        <v>75</v>
      </c>
      <c r="AY13" s="5" t="s">
        <v>1086</v>
      </c>
      <c r="AZ13" s="5" t="s">
        <v>431</v>
      </c>
      <c r="BA13" s="5" t="s">
        <v>434</v>
      </c>
      <c r="BB13" s="5">
        <v>24.945</v>
      </c>
      <c r="BC13" s="5">
        <v>27.349</v>
      </c>
      <c r="BD13" s="5">
        <v>34.615000000000002</v>
      </c>
      <c r="BE13" s="5">
        <v>2</v>
      </c>
      <c r="BF13" s="5">
        <v>80</v>
      </c>
      <c r="BG13" s="5" t="s">
        <v>1087</v>
      </c>
      <c r="BH13" s="5" t="s">
        <v>434</v>
      </c>
      <c r="BI13" s="5" t="s">
        <v>431</v>
      </c>
      <c r="BJ13" s="5">
        <v>21.097000000000001</v>
      </c>
      <c r="BK13" s="5">
        <v>21.097000000000001</v>
      </c>
      <c r="BL13" s="5">
        <v>22.46</v>
      </c>
      <c r="BM13" s="5">
        <v>1</v>
      </c>
      <c r="BN13" s="5">
        <v>80</v>
      </c>
      <c r="BO13" s="5" t="s">
        <v>1088</v>
      </c>
      <c r="BP13" s="5" t="s">
        <v>431</v>
      </c>
      <c r="BQ13" s="5" t="s">
        <v>431</v>
      </c>
      <c r="BR13" s="5">
        <v>13.756</v>
      </c>
      <c r="BS13" s="5">
        <v>13.756</v>
      </c>
      <c r="BT13" s="5">
        <v>26.547999999999998</v>
      </c>
      <c r="BU13" s="5">
        <v>1</v>
      </c>
      <c r="BV13" s="5">
        <v>90</v>
      </c>
      <c r="BW13" s="5" t="s">
        <v>1089</v>
      </c>
      <c r="BX13" s="5" t="s">
        <v>434</v>
      </c>
      <c r="BY13" s="5" t="s">
        <v>434</v>
      </c>
      <c r="BZ13" s="5">
        <v>16.385000000000002</v>
      </c>
      <c r="CA13" s="5">
        <v>16.385000000000002</v>
      </c>
      <c r="CB13" s="5">
        <v>18.736999999999998</v>
      </c>
      <c r="CC13" s="5">
        <v>1</v>
      </c>
      <c r="CD13" s="5">
        <v>80</v>
      </c>
      <c r="CE13" s="5" t="s">
        <v>1090</v>
      </c>
      <c r="CF13" s="5" t="s">
        <v>431</v>
      </c>
      <c r="CG13" s="5" t="s">
        <v>434</v>
      </c>
      <c r="CH13" s="5">
        <v>39.277999999999999</v>
      </c>
      <c r="CI13" s="5">
        <v>39.277999999999999</v>
      </c>
      <c r="CJ13" s="5">
        <v>41.085000000000001</v>
      </c>
      <c r="CK13" s="5">
        <v>1</v>
      </c>
      <c r="CL13" s="5">
        <v>75</v>
      </c>
      <c r="CM13" s="5" t="s">
        <v>1091</v>
      </c>
      <c r="CN13" s="5" t="s">
        <v>256</v>
      </c>
      <c r="CO13" s="5" t="s">
        <v>244</v>
      </c>
      <c r="CP13" s="5" t="s">
        <v>246</v>
      </c>
      <c r="CQ13" s="5" t="s">
        <v>246</v>
      </c>
      <c r="CR13" s="5"/>
    </row>
    <row r="14" spans="1:96" x14ac:dyDescent="0.3">
      <c r="A14" s="4">
        <v>45609.568807870368</v>
      </c>
      <c r="B14" s="4">
        <v>45609.582002314812</v>
      </c>
      <c r="C14" s="5" t="s">
        <v>30</v>
      </c>
      <c r="D14" s="5" t="s">
        <v>224</v>
      </c>
      <c r="E14" s="5">
        <v>100</v>
      </c>
      <c r="F14" s="5">
        <v>1140</v>
      </c>
      <c r="G14" s="5" t="b">
        <v>1</v>
      </c>
      <c r="H14" s="4">
        <v>45609.582002314812</v>
      </c>
      <c r="I14" s="5" t="s">
        <v>225</v>
      </c>
      <c r="J14" s="5"/>
      <c r="K14" s="5"/>
      <c r="L14" s="5"/>
      <c r="M14" s="5"/>
      <c r="N14" s="5">
        <v>42.262</v>
      </c>
      <c r="O14" s="5">
        <v>-71.800700000000006</v>
      </c>
      <c r="P14" s="5" t="s">
        <v>79</v>
      </c>
      <c r="Q14" s="5" t="s">
        <v>80</v>
      </c>
      <c r="R14" s="5">
        <v>1</v>
      </c>
      <c r="S14" s="5" t="s">
        <v>116</v>
      </c>
      <c r="T14" s="5" t="s">
        <v>82</v>
      </c>
      <c r="U14" s="5" t="s">
        <v>83</v>
      </c>
      <c r="V14" s="5" t="s">
        <v>127</v>
      </c>
      <c r="W14" s="5" t="s">
        <v>85</v>
      </c>
      <c r="X14" s="5" t="s">
        <v>86</v>
      </c>
      <c r="Y14" s="5"/>
      <c r="Z14" s="5" t="s">
        <v>118</v>
      </c>
      <c r="AA14" s="5" t="s">
        <v>88</v>
      </c>
      <c r="AB14" s="5" t="s">
        <v>431</v>
      </c>
      <c r="AC14" s="5" t="s">
        <v>431</v>
      </c>
      <c r="AD14" s="5">
        <v>34.832999999999998</v>
      </c>
      <c r="AE14" s="5">
        <v>34.832999999999998</v>
      </c>
      <c r="AF14" s="5">
        <v>36.808999999999997</v>
      </c>
      <c r="AG14" s="5">
        <v>1</v>
      </c>
      <c r="AH14" s="5">
        <v>85</v>
      </c>
      <c r="AI14" s="5" t="s">
        <v>1092</v>
      </c>
      <c r="AJ14" s="5" t="s">
        <v>434</v>
      </c>
      <c r="AK14" s="5" t="s">
        <v>431</v>
      </c>
      <c r="AL14" s="5">
        <v>43.067999999999998</v>
      </c>
      <c r="AM14" s="5">
        <v>43.067999999999998</v>
      </c>
      <c r="AN14" s="5">
        <v>45.023000000000003</v>
      </c>
      <c r="AO14" s="5">
        <v>1</v>
      </c>
      <c r="AP14" s="5">
        <v>80</v>
      </c>
      <c r="AQ14" s="5" t="s">
        <v>1093</v>
      </c>
      <c r="AR14" s="5" t="s">
        <v>434</v>
      </c>
      <c r="AS14" s="5" t="s">
        <v>434</v>
      </c>
      <c r="AT14" s="5">
        <v>34.201000000000001</v>
      </c>
      <c r="AU14" s="5">
        <v>34.201000000000001</v>
      </c>
      <c r="AV14" s="5">
        <v>47.956000000000003</v>
      </c>
      <c r="AW14" s="5">
        <v>1</v>
      </c>
      <c r="AX14" s="5">
        <v>90</v>
      </c>
      <c r="AY14" s="5" t="s">
        <v>1094</v>
      </c>
      <c r="AZ14" s="5" t="s">
        <v>431</v>
      </c>
      <c r="BA14" s="5" t="s">
        <v>434</v>
      </c>
      <c r="BB14" s="5">
        <v>24.573</v>
      </c>
      <c r="BC14" s="5">
        <v>24.573</v>
      </c>
      <c r="BD14" s="5">
        <v>25.846</v>
      </c>
      <c r="BE14" s="5">
        <v>1</v>
      </c>
      <c r="BF14" s="5">
        <v>85</v>
      </c>
      <c r="BG14" s="5" t="s">
        <v>1095</v>
      </c>
      <c r="BH14" s="5" t="s">
        <v>431</v>
      </c>
      <c r="BI14" s="5" t="s">
        <v>431</v>
      </c>
      <c r="BJ14" s="5">
        <v>39.298999999999999</v>
      </c>
      <c r="BK14" s="5">
        <v>39.298999999999999</v>
      </c>
      <c r="BL14" s="5">
        <v>41.171999999999997</v>
      </c>
      <c r="BM14" s="5">
        <v>1</v>
      </c>
      <c r="BN14" s="5">
        <v>90</v>
      </c>
      <c r="BO14" s="5" t="s">
        <v>1096</v>
      </c>
      <c r="BP14" s="5" t="s">
        <v>431</v>
      </c>
      <c r="BQ14" s="5" t="s">
        <v>431</v>
      </c>
      <c r="BR14" s="5">
        <v>29.966000000000001</v>
      </c>
      <c r="BS14" s="5">
        <v>29.966000000000001</v>
      </c>
      <c r="BT14" s="5">
        <v>31.379000000000001</v>
      </c>
      <c r="BU14" s="5">
        <v>1</v>
      </c>
      <c r="BV14" s="5">
        <v>75</v>
      </c>
      <c r="BW14" s="5" t="s">
        <v>1097</v>
      </c>
      <c r="BX14" s="5" t="s">
        <v>434</v>
      </c>
      <c r="BY14" s="5" t="s">
        <v>434</v>
      </c>
      <c r="BZ14" s="5">
        <v>13.255000000000001</v>
      </c>
      <c r="CA14" s="5">
        <v>14.087</v>
      </c>
      <c r="CB14" s="5">
        <v>17.928999999999998</v>
      </c>
      <c r="CC14" s="5">
        <v>2</v>
      </c>
      <c r="CD14" s="5">
        <v>80</v>
      </c>
      <c r="CE14" s="5" t="s">
        <v>1098</v>
      </c>
      <c r="CF14" s="5" t="s">
        <v>431</v>
      </c>
      <c r="CG14" s="5" t="s">
        <v>434</v>
      </c>
      <c r="CH14" s="5">
        <v>160.976</v>
      </c>
      <c r="CI14" s="5">
        <v>160.976</v>
      </c>
      <c r="CJ14" s="5">
        <v>162.196</v>
      </c>
      <c r="CK14" s="5">
        <v>1</v>
      </c>
      <c r="CL14" s="5">
        <v>50</v>
      </c>
      <c r="CM14" s="5" t="s">
        <v>1099</v>
      </c>
      <c r="CN14" s="5" t="s">
        <v>266</v>
      </c>
      <c r="CO14" s="5" t="s">
        <v>244</v>
      </c>
      <c r="CP14" s="5" t="s">
        <v>291</v>
      </c>
      <c r="CQ14" s="5" t="s">
        <v>243</v>
      </c>
      <c r="CR14" s="5"/>
    </row>
    <row r="15" spans="1:96" x14ac:dyDescent="0.3">
      <c r="A15" s="4">
        <v>45611.023182870369</v>
      </c>
      <c r="B15" s="4">
        <v>45611.028981481482</v>
      </c>
      <c r="C15" s="5" t="s">
        <v>30</v>
      </c>
      <c r="D15" s="5" t="s">
        <v>1132</v>
      </c>
      <c r="E15" s="5">
        <v>100</v>
      </c>
      <c r="F15" s="5">
        <v>500</v>
      </c>
      <c r="G15" s="5" t="b">
        <v>1</v>
      </c>
      <c r="H15" s="4">
        <v>45611.028981481482</v>
      </c>
      <c r="I15" s="5" t="s">
        <v>1133</v>
      </c>
      <c r="J15" s="5"/>
      <c r="K15" s="5"/>
      <c r="L15" s="5"/>
      <c r="M15" s="5"/>
      <c r="N15" s="5">
        <v>42.270499999999998</v>
      </c>
      <c r="O15" s="5">
        <v>-71.844700000000003</v>
      </c>
      <c r="P15" s="5" t="s">
        <v>79</v>
      </c>
      <c r="Q15" s="5" t="s">
        <v>80</v>
      </c>
      <c r="R15" s="5">
        <v>1</v>
      </c>
      <c r="S15" s="5" t="s">
        <v>116</v>
      </c>
      <c r="T15" s="5" t="s">
        <v>196</v>
      </c>
      <c r="U15" s="5" t="s">
        <v>93</v>
      </c>
      <c r="V15" s="5" t="s">
        <v>123</v>
      </c>
      <c r="W15" s="5" t="s">
        <v>98</v>
      </c>
      <c r="X15" s="5" t="s">
        <v>95</v>
      </c>
      <c r="Y15" s="5"/>
      <c r="Z15" s="5" t="s">
        <v>118</v>
      </c>
      <c r="AA15" s="5" t="s">
        <v>113</v>
      </c>
      <c r="AB15" s="5" t="s">
        <v>434</v>
      </c>
      <c r="AC15" s="5" t="s">
        <v>431</v>
      </c>
      <c r="AD15" s="5">
        <v>15.476000000000001</v>
      </c>
      <c r="AE15" s="5">
        <v>15.476000000000001</v>
      </c>
      <c r="AF15" s="5">
        <v>17.001000000000001</v>
      </c>
      <c r="AG15" s="5">
        <v>1</v>
      </c>
      <c r="AH15" s="5">
        <v>71</v>
      </c>
      <c r="AI15" s="5" t="s">
        <v>1192</v>
      </c>
      <c r="AJ15" s="5" t="s">
        <v>431</v>
      </c>
      <c r="AK15" s="5" t="s">
        <v>431</v>
      </c>
      <c r="AL15" s="5">
        <v>23.117999999999999</v>
      </c>
      <c r="AM15" s="5">
        <v>23.117999999999999</v>
      </c>
      <c r="AN15" s="5">
        <v>23.905999999999999</v>
      </c>
      <c r="AO15" s="5">
        <v>1</v>
      </c>
      <c r="AP15" s="5">
        <v>81</v>
      </c>
      <c r="AQ15" s="5" t="s">
        <v>1191</v>
      </c>
      <c r="AR15" s="5" t="s">
        <v>434</v>
      </c>
      <c r="AS15" s="5" t="s">
        <v>434</v>
      </c>
      <c r="AT15" s="5">
        <v>16.196999999999999</v>
      </c>
      <c r="AU15" s="5">
        <v>16.196999999999999</v>
      </c>
      <c r="AV15" s="5">
        <v>17.074000000000002</v>
      </c>
      <c r="AW15" s="5">
        <v>1</v>
      </c>
      <c r="AX15" s="5">
        <v>99</v>
      </c>
      <c r="AY15" s="5" t="s">
        <v>1190</v>
      </c>
      <c r="AZ15" s="5" t="s">
        <v>431</v>
      </c>
      <c r="BA15" s="5" t="s">
        <v>434</v>
      </c>
      <c r="BB15" s="5">
        <v>3.1019999999999999</v>
      </c>
      <c r="BC15" s="5">
        <v>20.411000000000001</v>
      </c>
      <c r="BD15" s="5">
        <v>48.087000000000003</v>
      </c>
      <c r="BE15" s="5">
        <v>3</v>
      </c>
      <c r="BF15" s="5">
        <v>91</v>
      </c>
      <c r="BG15" s="5" t="s">
        <v>1189</v>
      </c>
      <c r="BH15" s="5" t="s">
        <v>434</v>
      </c>
      <c r="BI15" s="5" t="s">
        <v>431</v>
      </c>
      <c r="BJ15" s="5">
        <v>22.611000000000001</v>
      </c>
      <c r="BK15" s="5">
        <v>23.329000000000001</v>
      </c>
      <c r="BL15" s="5">
        <v>24.094000000000001</v>
      </c>
      <c r="BM15" s="5">
        <v>3</v>
      </c>
      <c r="BN15" s="5">
        <v>80</v>
      </c>
      <c r="BO15" s="5" t="s">
        <v>500</v>
      </c>
      <c r="BP15" s="5" t="s">
        <v>434</v>
      </c>
      <c r="BQ15" s="5" t="s">
        <v>431</v>
      </c>
      <c r="BR15" s="5">
        <v>4.149</v>
      </c>
      <c r="BS15" s="5">
        <v>9.4090000000000007</v>
      </c>
      <c r="BT15" s="5">
        <v>11.928000000000001</v>
      </c>
      <c r="BU15" s="5">
        <v>14</v>
      </c>
      <c r="BV15" s="5">
        <v>79</v>
      </c>
      <c r="BW15" s="5" t="s">
        <v>500</v>
      </c>
      <c r="BX15" s="5" t="s">
        <v>434</v>
      </c>
      <c r="BY15" s="5" t="s">
        <v>434</v>
      </c>
      <c r="BZ15" s="5">
        <v>11.127000000000001</v>
      </c>
      <c r="CA15" s="5">
        <v>11.127000000000001</v>
      </c>
      <c r="CB15" s="5">
        <v>12.215999999999999</v>
      </c>
      <c r="CC15" s="5">
        <v>1</v>
      </c>
      <c r="CD15" s="5">
        <v>88</v>
      </c>
      <c r="CE15" s="5" t="s">
        <v>1188</v>
      </c>
      <c r="CF15" s="5" t="s">
        <v>431</v>
      </c>
      <c r="CG15" s="5" t="s">
        <v>434</v>
      </c>
      <c r="CH15" s="5">
        <v>12.276</v>
      </c>
      <c r="CI15" s="5">
        <v>14.007</v>
      </c>
      <c r="CJ15" s="5">
        <v>15.292999999999999</v>
      </c>
      <c r="CK15" s="5">
        <v>2</v>
      </c>
      <c r="CL15" s="5">
        <v>87</v>
      </c>
      <c r="CM15" s="5" t="s">
        <v>1187</v>
      </c>
      <c r="CN15" s="5" t="s">
        <v>1152</v>
      </c>
      <c r="CO15" s="5" t="s">
        <v>244</v>
      </c>
      <c r="CP15" s="5" t="s">
        <v>255</v>
      </c>
      <c r="CQ15" s="5" t="s">
        <v>276</v>
      </c>
      <c r="CR15" s="5"/>
    </row>
    <row r="16" spans="1:96" x14ac:dyDescent="0.3">
      <c r="A16" s="4">
        <v>45611.61515046296</v>
      </c>
      <c r="B16" s="4">
        <v>45611.627118055556</v>
      </c>
      <c r="C16" s="5" t="s">
        <v>30</v>
      </c>
      <c r="D16" s="5" t="s">
        <v>1136</v>
      </c>
      <c r="E16" s="5">
        <v>100</v>
      </c>
      <c r="F16" s="5">
        <v>1034</v>
      </c>
      <c r="G16" s="5" t="b">
        <v>1</v>
      </c>
      <c r="H16" s="4">
        <v>45611.627129629633</v>
      </c>
      <c r="I16" s="5" t="s">
        <v>1137</v>
      </c>
      <c r="J16" s="5"/>
      <c r="K16" s="5"/>
      <c r="L16" s="5"/>
      <c r="M16" s="5"/>
      <c r="N16" s="5">
        <v>42.337000000000003</v>
      </c>
      <c r="O16" s="5">
        <v>-71.209199999999996</v>
      </c>
      <c r="P16" s="5" t="s">
        <v>79</v>
      </c>
      <c r="Q16" s="5" t="s">
        <v>80</v>
      </c>
      <c r="R16" s="5">
        <v>1</v>
      </c>
      <c r="S16" s="5" t="s">
        <v>103</v>
      </c>
      <c r="T16" s="5">
        <v>131</v>
      </c>
      <c r="U16" s="5" t="s">
        <v>199</v>
      </c>
      <c r="V16" s="5" t="s">
        <v>123</v>
      </c>
      <c r="W16" s="5" t="s">
        <v>85</v>
      </c>
      <c r="X16" s="5" t="s">
        <v>95</v>
      </c>
      <c r="Y16" s="5"/>
      <c r="Z16" s="5" t="s">
        <v>87</v>
      </c>
      <c r="AA16" s="5" t="s">
        <v>1138</v>
      </c>
      <c r="AB16" s="5" t="s">
        <v>431</v>
      </c>
      <c r="AC16" s="5" t="s">
        <v>431</v>
      </c>
      <c r="AD16" s="5">
        <v>40.033000000000001</v>
      </c>
      <c r="AE16" s="5">
        <v>40.033000000000001</v>
      </c>
      <c r="AF16" s="5">
        <v>44.031999999999996</v>
      </c>
      <c r="AG16" s="5">
        <v>1</v>
      </c>
      <c r="AH16" s="5">
        <v>80</v>
      </c>
      <c r="AI16" s="5" t="s">
        <v>1186</v>
      </c>
      <c r="AJ16" s="5" t="s">
        <v>431</v>
      </c>
      <c r="AK16" s="5" t="s">
        <v>431</v>
      </c>
      <c r="AL16" s="5">
        <v>26.971</v>
      </c>
      <c r="AM16" s="5">
        <v>26.971</v>
      </c>
      <c r="AN16" s="5">
        <v>46.186999999999998</v>
      </c>
      <c r="AO16" s="5">
        <v>1</v>
      </c>
      <c r="AP16" s="5">
        <v>90</v>
      </c>
      <c r="AQ16" s="5" t="s">
        <v>1185</v>
      </c>
      <c r="AR16" s="5" t="s">
        <v>434</v>
      </c>
      <c r="AS16" s="5" t="s">
        <v>434</v>
      </c>
      <c r="AT16" s="5">
        <v>17.396999999999998</v>
      </c>
      <c r="AU16" s="5">
        <v>17.396999999999998</v>
      </c>
      <c r="AV16" s="5">
        <v>28.984000000000002</v>
      </c>
      <c r="AW16" s="5">
        <v>1</v>
      </c>
      <c r="AX16" s="5">
        <v>90</v>
      </c>
      <c r="AY16" s="5" t="s">
        <v>1184</v>
      </c>
      <c r="AZ16" s="5" t="s">
        <v>431</v>
      </c>
      <c r="BA16" s="5" t="s">
        <v>434</v>
      </c>
      <c r="BB16" s="5">
        <v>45.216999999999999</v>
      </c>
      <c r="BC16" s="5">
        <v>45.216999999999999</v>
      </c>
      <c r="BD16" s="5">
        <v>73.95</v>
      </c>
      <c r="BE16" s="5">
        <v>1</v>
      </c>
      <c r="BF16" s="5">
        <v>61</v>
      </c>
      <c r="BG16" s="5" t="s">
        <v>1183</v>
      </c>
      <c r="BH16" s="5" t="s">
        <v>431</v>
      </c>
      <c r="BI16" s="5" t="s">
        <v>431</v>
      </c>
      <c r="BJ16" s="5">
        <v>49.613999999999997</v>
      </c>
      <c r="BK16" s="5">
        <v>81.438000000000002</v>
      </c>
      <c r="BL16" s="5">
        <v>92.891000000000005</v>
      </c>
      <c r="BM16" s="5">
        <v>2</v>
      </c>
      <c r="BN16" s="5">
        <v>60</v>
      </c>
      <c r="BO16" s="5" t="s">
        <v>1182</v>
      </c>
      <c r="BP16" s="5" t="s">
        <v>431</v>
      </c>
      <c r="BQ16" s="5" t="s">
        <v>431</v>
      </c>
      <c r="BR16" s="5">
        <v>23.388000000000002</v>
      </c>
      <c r="BS16" s="5">
        <v>23.388000000000002</v>
      </c>
      <c r="BT16" s="5">
        <v>28.082000000000001</v>
      </c>
      <c r="BU16" s="5">
        <v>1</v>
      </c>
      <c r="BV16" s="5">
        <v>80</v>
      </c>
      <c r="BW16" s="5" t="s">
        <v>1181</v>
      </c>
      <c r="BX16" s="5" t="s">
        <v>434</v>
      </c>
      <c r="BY16" s="5" t="s">
        <v>434</v>
      </c>
      <c r="BZ16" s="5">
        <v>16.617999999999999</v>
      </c>
      <c r="CA16" s="5">
        <v>16.617999999999999</v>
      </c>
      <c r="CB16" s="5">
        <v>20.361000000000001</v>
      </c>
      <c r="CC16" s="5">
        <v>1</v>
      </c>
      <c r="CD16" s="5">
        <v>80</v>
      </c>
      <c r="CE16" s="5" t="s">
        <v>1180</v>
      </c>
      <c r="CF16" s="5" t="s">
        <v>431</v>
      </c>
      <c r="CG16" s="5" t="s">
        <v>434</v>
      </c>
      <c r="CH16" s="5">
        <v>62.643999999999998</v>
      </c>
      <c r="CI16" s="5">
        <v>62.643999999999998</v>
      </c>
      <c r="CJ16" s="5">
        <v>66.599999999999994</v>
      </c>
      <c r="CK16" s="5">
        <v>1</v>
      </c>
      <c r="CL16" s="5">
        <v>70</v>
      </c>
      <c r="CM16" s="5" t="s">
        <v>1179</v>
      </c>
      <c r="CN16" s="5" t="s">
        <v>1153</v>
      </c>
      <c r="CO16" s="5" t="s">
        <v>244</v>
      </c>
      <c r="CP16" s="5" t="s">
        <v>279</v>
      </c>
      <c r="CQ16" s="5" t="s">
        <v>262</v>
      </c>
      <c r="CR16" s="5"/>
    </row>
    <row r="17" spans="1:96" x14ac:dyDescent="0.3">
      <c r="A17" s="4">
        <v>45615.628657407404</v>
      </c>
      <c r="B17" s="4">
        <v>45615.634722222225</v>
      </c>
      <c r="C17" s="5" t="s">
        <v>30</v>
      </c>
      <c r="D17" s="5" t="s">
        <v>1145</v>
      </c>
      <c r="E17" s="5">
        <v>100</v>
      </c>
      <c r="F17" s="5">
        <v>524</v>
      </c>
      <c r="G17" s="5" t="b">
        <v>1</v>
      </c>
      <c r="H17" s="4">
        <v>45615.634733796294</v>
      </c>
      <c r="I17" s="5" t="s">
        <v>1146</v>
      </c>
      <c r="J17" s="5"/>
      <c r="K17" s="5"/>
      <c r="L17" s="5"/>
      <c r="M17" s="5"/>
      <c r="N17" s="5">
        <v>42.2821</v>
      </c>
      <c r="O17" s="5">
        <v>-71.8262</v>
      </c>
      <c r="P17" s="5" t="s">
        <v>79</v>
      </c>
      <c r="Q17" s="5" t="s">
        <v>80</v>
      </c>
      <c r="R17" s="5">
        <v>1</v>
      </c>
      <c r="S17" s="5" t="s">
        <v>116</v>
      </c>
      <c r="T17" s="5" t="s">
        <v>82</v>
      </c>
      <c r="U17" s="5" t="s">
        <v>93</v>
      </c>
      <c r="V17" s="5" t="s">
        <v>123</v>
      </c>
      <c r="W17" s="5" t="s">
        <v>98</v>
      </c>
      <c r="X17" s="5" t="s">
        <v>86</v>
      </c>
      <c r="Y17" s="5"/>
      <c r="Z17" s="5" t="s">
        <v>87</v>
      </c>
      <c r="AA17" s="5" t="s">
        <v>1147</v>
      </c>
      <c r="AB17" s="5" t="s">
        <v>431</v>
      </c>
      <c r="AC17" s="5" t="s">
        <v>431</v>
      </c>
      <c r="AD17" s="5">
        <v>30.233000000000001</v>
      </c>
      <c r="AE17" s="5">
        <v>30.233000000000001</v>
      </c>
      <c r="AF17" s="5">
        <v>31.63</v>
      </c>
      <c r="AG17" s="5">
        <v>1</v>
      </c>
      <c r="AH17" s="5">
        <v>81</v>
      </c>
      <c r="AI17" s="5" t="s">
        <v>1178</v>
      </c>
      <c r="AJ17" s="5" t="s">
        <v>431</v>
      </c>
      <c r="AK17" s="5" t="s">
        <v>431</v>
      </c>
      <c r="AL17" s="5">
        <v>9.7210000000000001</v>
      </c>
      <c r="AM17" s="5">
        <v>9.7210000000000001</v>
      </c>
      <c r="AN17" s="5">
        <v>11.526999999999999</v>
      </c>
      <c r="AO17" s="5">
        <v>1</v>
      </c>
      <c r="AP17" s="5">
        <v>72</v>
      </c>
      <c r="AQ17" s="5" t="s">
        <v>1177</v>
      </c>
      <c r="AR17" s="5" t="s">
        <v>434</v>
      </c>
      <c r="AS17" s="5" t="s">
        <v>434</v>
      </c>
      <c r="AT17" s="5">
        <v>36.99</v>
      </c>
      <c r="AU17" s="5">
        <v>36.99</v>
      </c>
      <c r="AV17" s="5">
        <v>38.573</v>
      </c>
      <c r="AW17" s="5">
        <v>1</v>
      </c>
      <c r="AX17" s="5">
        <v>50</v>
      </c>
      <c r="AY17" s="5" t="s">
        <v>1176</v>
      </c>
      <c r="AZ17" s="5" t="s">
        <v>431</v>
      </c>
      <c r="BA17" s="5" t="s">
        <v>434</v>
      </c>
      <c r="BB17" s="5">
        <v>20.626000000000001</v>
      </c>
      <c r="BC17" s="5">
        <v>20.626000000000001</v>
      </c>
      <c r="BD17" s="5">
        <v>22.100999999999999</v>
      </c>
      <c r="BE17" s="5">
        <v>1</v>
      </c>
      <c r="BF17" s="5">
        <v>53</v>
      </c>
      <c r="BG17" s="5" t="s">
        <v>1175</v>
      </c>
      <c r="BH17" s="5" t="s">
        <v>434</v>
      </c>
      <c r="BI17" s="5" t="s">
        <v>431</v>
      </c>
      <c r="BJ17" s="5">
        <v>10.24</v>
      </c>
      <c r="BK17" s="5">
        <v>10.24</v>
      </c>
      <c r="BL17" s="5">
        <v>11.617000000000001</v>
      </c>
      <c r="BM17" s="5">
        <v>1</v>
      </c>
      <c r="BN17" s="5">
        <v>51</v>
      </c>
      <c r="BO17" s="5"/>
      <c r="BP17" s="5" t="s">
        <v>431</v>
      </c>
      <c r="BQ17" s="5" t="s">
        <v>431</v>
      </c>
      <c r="BR17" s="5">
        <v>32.058999999999997</v>
      </c>
      <c r="BS17" s="5">
        <v>32.058999999999997</v>
      </c>
      <c r="BT17" s="5">
        <v>34.488999999999997</v>
      </c>
      <c r="BU17" s="5">
        <v>1</v>
      </c>
      <c r="BV17" s="5">
        <v>73</v>
      </c>
      <c r="BW17" s="5" t="s">
        <v>1174</v>
      </c>
      <c r="BX17" s="5" t="s">
        <v>434</v>
      </c>
      <c r="BY17" s="5" t="s">
        <v>434</v>
      </c>
      <c r="BZ17" s="5">
        <v>6.5369999999999999</v>
      </c>
      <c r="CA17" s="5">
        <v>6.5369999999999999</v>
      </c>
      <c r="CB17" s="5">
        <v>8.39</v>
      </c>
      <c r="CC17" s="5">
        <v>1</v>
      </c>
      <c r="CD17" s="5">
        <v>87</v>
      </c>
      <c r="CE17" s="5" t="s">
        <v>1173</v>
      </c>
      <c r="CF17" s="5" t="s">
        <v>431</v>
      </c>
      <c r="CG17" s="5" t="s">
        <v>434</v>
      </c>
      <c r="CH17" s="5">
        <v>29.084</v>
      </c>
      <c r="CI17" s="5">
        <v>29.084</v>
      </c>
      <c r="CJ17" s="5">
        <v>30.654</v>
      </c>
      <c r="CK17" s="5">
        <v>1</v>
      </c>
      <c r="CL17" s="5">
        <v>52</v>
      </c>
      <c r="CM17" s="5"/>
      <c r="CN17" s="5" t="s">
        <v>258</v>
      </c>
      <c r="CO17" s="5" t="s">
        <v>278</v>
      </c>
      <c r="CP17" s="5" t="s">
        <v>278</v>
      </c>
      <c r="CQ17" s="5" t="s">
        <v>251</v>
      </c>
      <c r="CR17" s="5"/>
    </row>
  </sheetData>
  <autoFilter ref="A1:CR14" xr:uid="{F9182889-7FAC-4CC5-AF39-8C9ACF04AB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01599-68B0-4FFA-8CC8-B2B75212B639}">
  <dimension ref="A1:L465"/>
  <sheetViews>
    <sheetView tabSelected="1" topLeftCell="A454" workbookViewId="0">
      <selection activeCell="N470" sqref="N470"/>
    </sheetView>
  </sheetViews>
  <sheetFormatPr defaultRowHeight="14.4" x14ac:dyDescent="0.3"/>
  <cols>
    <col min="1" max="1" width="12.77734375" bestFit="1" customWidth="1"/>
    <col min="2" max="2" width="12.44140625" bestFit="1" customWidth="1"/>
    <col min="3" max="3" width="9.109375" bestFit="1" customWidth="1"/>
    <col min="4" max="4" width="8.77734375" bestFit="1" customWidth="1"/>
    <col min="5" max="5" width="17.44140625" bestFit="1" customWidth="1"/>
    <col min="6" max="6" width="10.5546875" bestFit="1" customWidth="1"/>
    <col min="7" max="7" width="12.88671875" bestFit="1" customWidth="1"/>
    <col min="8" max="8" width="12.6640625" bestFit="1" customWidth="1"/>
    <col min="9" max="9" width="15.21875" bestFit="1" customWidth="1"/>
    <col min="11" max="11" width="21.88671875" style="16" customWidth="1"/>
    <col min="12" max="12" width="10.6640625" style="17" customWidth="1"/>
  </cols>
  <sheetData>
    <row r="1" spans="1:12" s="8" customFormat="1" x14ac:dyDescent="0.3">
      <c r="A1" s="15" t="s">
        <v>1195</v>
      </c>
      <c r="B1" s="15" t="s">
        <v>1196</v>
      </c>
      <c r="C1" s="15" t="s">
        <v>1194</v>
      </c>
      <c r="D1" s="15" t="s">
        <v>1197</v>
      </c>
      <c r="E1" s="15" t="s">
        <v>1199</v>
      </c>
      <c r="F1" s="15" t="s">
        <v>1200</v>
      </c>
      <c r="G1" s="15" t="s">
        <v>1201</v>
      </c>
      <c r="H1" s="15" t="s">
        <v>1202</v>
      </c>
      <c r="I1" s="15" t="s">
        <v>1203</v>
      </c>
      <c r="J1" s="9" t="s">
        <v>1204</v>
      </c>
      <c r="K1" s="13" t="s">
        <v>1198</v>
      </c>
      <c r="L1" s="11" t="s">
        <v>1193</v>
      </c>
    </row>
    <row r="2" spans="1:12" x14ac:dyDescent="0.3">
      <c r="A2" s="5">
        <v>1</v>
      </c>
      <c r="B2" s="5">
        <v>1</v>
      </c>
      <c r="C2" s="5">
        <v>25.466999999999999</v>
      </c>
      <c r="D2" s="5">
        <v>25.466999999999999</v>
      </c>
      <c r="E2" s="5">
        <v>28.03</v>
      </c>
      <c r="F2" s="5">
        <v>1</v>
      </c>
      <c r="G2" s="5" t="s">
        <v>431</v>
      </c>
      <c r="H2" s="5" t="s">
        <v>431</v>
      </c>
      <c r="I2" s="5">
        <v>91</v>
      </c>
      <c r="J2" s="10">
        <f>IF(ISBLANK(K2), 0, 1)</f>
        <v>1</v>
      </c>
      <c r="K2" s="14" t="s">
        <v>432</v>
      </c>
      <c r="L2" s="12">
        <f t="shared" ref="L2:L65" si="0">IF(G2=H2, 1, 0)</f>
        <v>1</v>
      </c>
    </row>
    <row r="3" spans="1:12" x14ac:dyDescent="0.3">
      <c r="A3" s="5">
        <v>1</v>
      </c>
      <c r="B3" s="5">
        <v>1</v>
      </c>
      <c r="C3" s="5">
        <v>9.8350000000000009</v>
      </c>
      <c r="D3" s="5">
        <v>15.067</v>
      </c>
      <c r="E3" s="5">
        <v>15.699</v>
      </c>
      <c r="F3" s="5">
        <v>2</v>
      </c>
      <c r="G3" s="5" t="s">
        <v>431</v>
      </c>
      <c r="H3" s="5" t="s">
        <v>431</v>
      </c>
      <c r="I3" s="5">
        <v>85</v>
      </c>
      <c r="J3" s="10">
        <f t="shared" ref="J3:J66" si="1">IF(ISBLANK(K3), 0, 1)</f>
        <v>1</v>
      </c>
      <c r="K3" s="14" t="s">
        <v>441</v>
      </c>
      <c r="L3" s="12">
        <f t="shared" si="0"/>
        <v>1</v>
      </c>
    </row>
    <row r="4" spans="1:12" x14ac:dyDescent="0.3">
      <c r="A4" s="5">
        <v>1</v>
      </c>
      <c r="B4" s="5">
        <v>1</v>
      </c>
      <c r="C4" s="5">
        <v>65.088999999999999</v>
      </c>
      <c r="D4" s="5">
        <v>65.088999999999999</v>
      </c>
      <c r="E4" s="5">
        <v>106.48399999999999</v>
      </c>
      <c r="F4" s="5">
        <v>1</v>
      </c>
      <c r="G4" s="5" t="s">
        <v>431</v>
      </c>
      <c r="H4" s="5" t="s">
        <v>431</v>
      </c>
      <c r="I4" s="5">
        <v>100</v>
      </c>
      <c r="J4" s="10">
        <f t="shared" si="1"/>
        <v>1</v>
      </c>
      <c r="K4" s="14" t="s">
        <v>449</v>
      </c>
      <c r="L4" s="12">
        <f t="shared" si="0"/>
        <v>1</v>
      </c>
    </row>
    <row r="5" spans="1:12" x14ac:dyDescent="0.3">
      <c r="A5" s="5">
        <v>1</v>
      </c>
      <c r="B5" s="5">
        <v>1</v>
      </c>
      <c r="C5" s="5">
        <v>20.626999999999999</v>
      </c>
      <c r="D5" s="5">
        <v>30.704999999999998</v>
      </c>
      <c r="E5" s="5">
        <v>31.625</v>
      </c>
      <c r="F5" s="5">
        <v>2</v>
      </c>
      <c r="G5" s="5" t="s">
        <v>431</v>
      </c>
      <c r="H5" s="5" t="s">
        <v>431</v>
      </c>
      <c r="I5" s="5">
        <v>80</v>
      </c>
      <c r="J5" s="10">
        <f t="shared" si="1"/>
        <v>1</v>
      </c>
      <c r="K5" s="14" t="s">
        <v>450</v>
      </c>
      <c r="L5" s="12">
        <f t="shared" si="0"/>
        <v>1</v>
      </c>
    </row>
    <row r="6" spans="1:12" x14ac:dyDescent="0.3">
      <c r="A6" s="5">
        <v>1</v>
      </c>
      <c r="B6" s="5">
        <v>1</v>
      </c>
      <c r="C6" s="5">
        <v>51.142000000000003</v>
      </c>
      <c r="D6" s="5">
        <v>51.142000000000003</v>
      </c>
      <c r="E6" s="5">
        <v>57.661000000000001</v>
      </c>
      <c r="F6" s="5">
        <v>1</v>
      </c>
      <c r="G6" s="5" t="s">
        <v>434</v>
      </c>
      <c r="H6" s="5" t="s">
        <v>431</v>
      </c>
      <c r="I6" s="5">
        <v>90</v>
      </c>
      <c r="J6" s="10">
        <f t="shared" si="1"/>
        <v>1</v>
      </c>
      <c r="K6" s="14" t="s">
        <v>457</v>
      </c>
      <c r="L6" s="12">
        <f t="shared" si="0"/>
        <v>0</v>
      </c>
    </row>
    <row r="7" spans="1:12" x14ac:dyDescent="0.3">
      <c r="A7" s="5">
        <v>1</v>
      </c>
      <c r="B7" s="5">
        <v>1</v>
      </c>
      <c r="C7" s="5">
        <v>23.902000000000001</v>
      </c>
      <c r="D7" s="5">
        <v>23.902000000000001</v>
      </c>
      <c r="E7" s="5">
        <v>27.913</v>
      </c>
      <c r="F7" s="5">
        <v>1</v>
      </c>
      <c r="G7" s="5" t="s">
        <v>431</v>
      </c>
      <c r="H7" s="5" t="s">
        <v>431</v>
      </c>
      <c r="I7" s="5">
        <v>93</v>
      </c>
      <c r="J7" s="10">
        <f t="shared" si="1"/>
        <v>1</v>
      </c>
      <c r="K7" s="14" t="s">
        <v>465</v>
      </c>
      <c r="L7" s="12">
        <f t="shared" si="0"/>
        <v>1</v>
      </c>
    </row>
    <row r="8" spans="1:12" x14ac:dyDescent="0.3">
      <c r="A8" s="5">
        <v>1</v>
      </c>
      <c r="B8" s="5">
        <v>1</v>
      </c>
      <c r="C8" s="5">
        <v>85.099000000000004</v>
      </c>
      <c r="D8" s="5">
        <v>85.099000000000004</v>
      </c>
      <c r="E8" s="5">
        <v>284.11900000000003</v>
      </c>
      <c r="F8" s="5">
        <v>1</v>
      </c>
      <c r="G8" s="5" t="s">
        <v>431</v>
      </c>
      <c r="H8" s="5" t="s">
        <v>431</v>
      </c>
      <c r="I8" s="5">
        <v>95</v>
      </c>
      <c r="J8" s="10">
        <f t="shared" si="1"/>
        <v>1</v>
      </c>
      <c r="K8" s="14" t="s">
        <v>473</v>
      </c>
      <c r="L8" s="12">
        <f t="shared" si="0"/>
        <v>1</v>
      </c>
    </row>
    <row r="9" spans="1:12" x14ac:dyDescent="0.3">
      <c r="A9" s="5">
        <v>1</v>
      </c>
      <c r="B9" s="5">
        <v>1</v>
      </c>
      <c r="C9" s="5">
        <v>31.413</v>
      </c>
      <c r="D9" s="5">
        <v>32.723999999999997</v>
      </c>
      <c r="E9" s="5">
        <v>34.390999999999998</v>
      </c>
      <c r="F9" s="5">
        <v>3</v>
      </c>
      <c r="G9" s="5" t="s">
        <v>431</v>
      </c>
      <c r="H9" s="5" t="s">
        <v>431</v>
      </c>
      <c r="I9" s="5">
        <v>100</v>
      </c>
      <c r="J9" s="10">
        <f t="shared" si="1"/>
        <v>1</v>
      </c>
      <c r="K9" s="14" t="s">
        <v>481</v>
      </c>
      <c r="L9" s="12">
        <f t="shared" si="0"/>
        <v>1</v>
      </c>
    </row>
    <row r="10" spans="1:12" x14ac:dyDescent="0.3">
      <c r="A10" s="5">
        <v>1</v>
      </c>
      <c r="B10" s="5">
        <v>1</v>
      </c>
      <c r="C10" s="5">
        <v>14.228999999999999</v>
      </c>
      <c r="D10" s="5">
        <v>35.262</v>
      </c>
      <c r="E10" s="5">
        <v>36.795000000000002</v>
      </c>
      <c r="F10" s="5">
        <v>2</v>
      </c>
      <c r="G10" s="5" t="s">
        <v>431</v>
      </c>
      <c r="H10" s="5" t="s">
        <v>431</v>
      </c>
      <c r="I10" s="5">
        <v>61</v>
      </c>
      <c r="J10" s="10">
        <f t="shared" si="1"/>
        <v>1</v>
      </c>
      <c r="K10" s="14" t="s">
        <v>489</v>
      </c>
      <c r="L10" s="12">
        <f t="shared" si="0"/>
        <v>1</v>
      </c>
    </row>
    <row r="11" spans="1:12" x14ac:dyDescent="0.3">
      <c r="A11" s="5">
        <v>1</v>
      </c>
      <c r="B11" s="5">
        <v>1</v>
      </c>
      <c r="C11" s="5">
        <v>13.772</v>
      </c>
      <c r="D11" s="5">
        <v>13.772</v>
      </c>
      <c r="E11" s="5">
        <v>15.715</v>
      </c>
      <c r="F11" s="5">
        <v>1</v>
      </c>
      <c r="G11" s="5" t="s">
        <v>434</v>
      </c>
      <c r="H11" s="5" t="s">
        <v>431</v>
      </c>
      <c r="I11" s="5">
        <v>54</v>
      </c>
      <c r="J11" s="10">
        <f t="shared" si="1"/>
        <v>1</v>
      </c>
      <c r="K11" s="14" t="s">
        <v>497</v>
      </c>
      <c r="L11" s="12">
        <f t="shared" si="0"/>
        <v>0</v>
      </c>
    </row>
    <row r="12" spans="1:12" x14ac:dyDescent="0.3">
      <c r="A12" s="5">
        <v>1</v>
      </c>
      <c r="B12" s="5">
        <v>1</v>
      </c>
      <c r="C12" s="5">
        <v>31.46</v>
      </c>
      <c r="D12" s="5">
        <v>98.38</v>
      </c>
      <c r="E12" s="5">
        <v>102.794</v>
      </c>
      <c r="F12" s="5">
        <v>2</v>
      </c>
      <c r="G12" s="5" t="s">
        <v>434</v>
      </c>
      <c r="H12" s="5" t="s">
        <v>431</v>
      </c>
      <c r="I12" s="5">
        <v>70</v>
      </c>
      <c r="J12" s="10">
        <f t="shared" si="1"/>
        <v>1</v>
      </c>
      <c r="K12" s="14" t="s">
        <v>505</v>
      </c>
      <c r="L12" s="12">
        <f t="shared" si="0"/>
        <v>0</v>
      </c>
    </row>
    <row r="13" spans="1:12" x14ac:dyDescent="0.3">
      <c r="A13" s="5">
        <v>1</v>
      </c>
      <c r="B13" s="5">
        <v>1</v>
      </c>
      <c r="C13" s="5">
        <v>53.960999999999999</v>
      </c>
      <c r="D13" s="5">
        <v>53.960999999999999</v>
      </c>
      <c r="E13" s="5">
        <v>87.072999999999993</v>
      </c>
      <c r="F13" s="5">
        <v>1</v>
      </c>
      <c r="G13" s="5" t="s">
        <v>434</v>
      </c>
      <c r="H13" s="5" t="s">
        <v>431</v>
      </c>
      <c r="I13" s="5">
        <v>40</v>
      </c>
      <c r="J13" s="10">
        <f t="shared" si="1"/>
        <v>1</v>
      </c>
      <c r="K13" s="14" t="s">
        <v>513</v>
      </c>
      <c r="L13" s="12">
        <f t="shared" si="0"/>
        <v>0</v>
      </c>
    </row>
    <row r="14" spans="1:12" x14ac:dyDescent="0.3">
      <c r="A14" s="5">
        <v>1</v>
      </c>
      <c r="B14" s="5">
        <v>1</v>
      </c>
      <c r="C14" s="5">
        <v>16.297999999999998</v>
      </c>
      <c r="D14" s="5">
        <v>16.297999999999998</v>
      </c>
      <c r="E14" s="5">
        <v>17.584</v>
      </c>
      <c r="F14" s="5">
        <v>1</v>
      </c>
      <c r="G14" s="5" t="s">
        <v>431</v>
      </c>
      <c r="H14" s="5" t="s">
        <v>431</v>
      </c>
      <c r="I14" s="5">
        <v>100</v>
      </c>
      <c r="J14" s="10">
        <f t="shared" si="1"/>
        <v>0</v>
      </c>
      <c r="K14" s="14"/>
      <c r="L14" s="12">
        <f t="shared" si="0"/>
        <v>1</v>
      </c>
    </row>
    <row r="15" spans="1:12" x14ac:dyDescent="0.3">
      <c r="A15" s="5">
        <v>1</v>
      </c>
      <c r="B15" s="5">
        <v>1</v>
      </c>
      <c r="C15" s="5">
        <v>35.319000000000003</v>
      </c>
      <c r="D15" s="5">
        <v>35.319000000000003</v>
      </c>
      <c r="E15" s="5">
        <v>37.338999999999999</v>
      </c>
      <c r="F15" s="5">
        <v>1</v>
      </c>
      <c r="G15" s="5" t="s">
        <v>431</v>
      </c>
      <c r="H15" s="5" t="s">
        <v>431</v>
      </c>
      <c r="I15" s="5">
        <v>61</v>
      </c>
      <c r="J15" s="10">
        <f t="shared" si="1"/>
        <v>0</v>
      </c>
      <c r="K15" s="14"/>
      <c r="L15" s="12">
        <f t="shared" si="0"/>
        <v>1</v>
      </c>
    </row>
    <row r="16" spans="1:12" x14ac:dyDescent="0.3">
      <c r="A16" s="5">
        <v>1</v>
      </c>
      <c r="B16" s="5">
        <v>1</v>
      </c>
      <c r="C16" s="5">
        <v>29.212</v>
      </c>
      <c r="D16" s="5">
        <v>29.212</v>
      </c>
      <c r="E16" s="5">
        <v>30.774999999999999</v>
      </c>
      <c r="F16" s="5">
        <v>1</v>
      </c>
      <c r="G16" s="5" t="s">
        <v>431</v>
      </c>
      <c r="H16" s="5" t="s">
        <v>431</v>
      </c>
      <c r="I16" s="5">
        <v>60</v>
      </c>
      <c r="J16" s="10">
        <f t="shared" si="1"/>
        <v>1</v>
      </c>
      <c r="K16" s="14" t="s">
        <v>1154</v>
      </c>
      <c r="L16" s="12">
        <f t="shared" si="0"/>
        <v>1</v>
      </c>
    </row>
    <row r="17" spans="1:12" x14ac:dyDescent="0.3">
      <c r="A17" s="5">
        <v>1</v>
      </c>
      <c r="B17" s="5">
        <v>1</v>
      </c>
      <c r="C17" s="5">
        <v>34.326999999999998</v>
      </c>
      <c r="D17" s="5">
        <v>34.326999999999998</v>
      </c>
      <c r="E17" s="5">
        <v>36.018000000000001</v>
      </c>
      <c r="F17" s="5">
        <v>1</v>
      </c>
      <c r="G17" s="5" t="s">
        <v>431</v>
      </c>
      <c r="H17" s="5" t="s">
        <v>431</v>
      </c>
      <c r="I17" s="5">
        <v>51</v>
      </c>
      <c r="J17" s="10">
        <f t="shared" si="1"/>
        <v>1</v>
      </c>
      <c r="K17" s="14" t="s">
        <v>1162</v>
      </c>
      <c r="L17" s="12">
        <f t="shared" si="0"/>
        <v>1</v>
      </c>
    </row>
    <row r="18" spans="1:12" x14ac:dyDescent="0.3">
      <c r="A18" s="5">
        <v>1</v>
      </c>
      <c r="B18" s="5">
        <v>2</v>
      </c>
      <c r="C18" s="5">
        <v>101.925</v>
      </c>
      <c r="D18" s="5">
        <v>101.925</v>
      </c>
      <c r="E18" s="5">
        <v>126.036</v>
      </c>
      <c r="F18" s="5">
        <v>1</v>
      </c>
      <c r="G18" s="5" t="s">
        <v>431</v>
      </c>
      <c r="H18" s="5" t="s">
        <v>431</v>
      </c>
      <c r="I18" s="5">
        <v>85</v>
      </c>
      <c r="J18" s="10">
        <f t="shared" si="1"/>
        <v>1</v>
      </c>
      <c r="K18" s="14" t="s">
        <v>433</v>
      </c>
      <c r="L18" s="12">
        <f t="shared" si="0"/>
        <v>1</v>
      </c>
    </row>
    <row r="19" spans="1:12" x14ac:dyDescent="0.3">
      <c r="A19" s="5">
        <v>1</v>
      </c>
      <c r="B19" s="5">
        <v>2</v>
      </c>
      <c r="C19" s="5">
        <v>27.408999999999999</v>
      </c>
      <c r="D19" s="5">
        <v>28.55</v>
      </c>
      <c r="E19" s="5">
        <v>29.847999999999999</v>
      </c>
      <c r="F19" s="5">
        <v>4</v>
      </c>
      <c r="G19" s="5" t="s">
        <v>431</v>
      </c>
      <c r="H19" s="5" t="s">
        <v>431</v>
      </c>
      <c r="I19" s="5">
        <v>90</v>
      </c>
      <c r="J19" s="10">
        <f t="shared" si="1"/>
        <v>1</v>
      </c>
      <c r="K19" s="14" t="s">
        <v>442</v>
      </c>
      <c r="L19" s="12">
        <f t="shared" si="0"/>
        <v>1</v>
      </c>
    </row>
    <row r="20" spans="1:12" x14ac:dyDescent="0.3">
      <c r="A20" s="5">
        <v>1</v>
      </c>
      <c r="B20" s="5">
        <v>2</v>
      </c>
      <c r="C20" s="5">
        <v>13.276</v>
      </c>
      <c r="D20" s="5">
        <v>126.489</v>
      </c>
      <c r="E20" s="5">
        <v>140.518</v>
      </c>
      <c r="F20" s="5">
        <v>3</v>
      </c>
      <c r="G20" s="5" t="s">
        <v>434</v>
      </c>
      <c r="H20" s="5" t="s">
        <v>431</v>
      </c>
      <c r="I20" s="5">
        <v>81</v>
      </c>
      <c r="J20" s="10">
        <f t="shared" si="1"/>
        <v>0</v>
      </c>
      <c r="K20" s="14"/>
      <c r="L20" s="12">
        <f t="shared" si="0"/>
        <v>0</v>
      </c>
    </row>
    <row r="21" spans="1:12" x14ac:dyDescent="0.3">
      <c r="A21" s="5">
        <v>1</v>
      </c>
      <c r="B21" s="5">
        <v>2</v>
      </c>
      <c r="C21" s="5">
        <v>7.4790000000000001</v>
      </c>
      <c r="D21" s="5">
        <v>179.18799999999999</v>
      </c>
      <c r="E21" s="5">
        <v>179.87299999999999</v>
      </c>
      <c r="F21" s="5">
        <v>17</v>
      </c>
      <c r="G21" s="5" t="s">
        <v>434</v>
      </c>
      <c r="H21" s="5" t="s">
        <v>431</v>
      </c>
      <c r="I21" s="5">
        <v>90</v>
      </c>
      <c r="J21" s="10">
        <f t="shared" si="1"/>
        <v>1</v>
      </c>
      <c r="K21" s="14" t="s">
        <v>451</v>
      </c>
      <c r="L21" s="12">
        <f t="shared" si="0"/>
        <v>0</v>
      </c>
    </row>
    <row r="22" spans="1:12" x14ac:dyDescent="0.3">
      <c r="A22" s="5">
        <v>1</v>
      </c>
      <c r="B22" s="5">
        <v>2</v>
      </c>
      <c r="C22" s="5">
        <v>65.858999999999995</v>
      </c>
      <c r="D22" s="5">
        <v>65.858999999999995</v>
      </c>
      <c r="E22" s="5">
        <v>72.89</v>
      </c>
      <c r="F22" s="5">
        <v>1</v>
      </c>
      <c r="G22" s="5" t="s">
        <v>431</v>
      </c>
      <c r="H22" s="5" t="s">
        <v>431</v>
      </c>
      <c r="I22" s="5">
        <v>50</v>
      </c>
      <c r="J22" s="10">
        <f t="shared" si="1"/>
        <v>1</v>
      </c>
      <c r="K22" s="14" t="s">
        <v>458</v>
      </c>
      <c r="L22" s="12">
        <f t="shared" si="0"/>
        <v>1</v>
      </c>
    </row>
    <row r="23" spans="1:12" x14ac:dyDescent="0.3">
      <c r="A23" s="5">
        <v>1</v>
      </c>
      <c r="B23" s="5">
        <v>2</v>
      </c>
      <c r="C23" s="5">
        <v>10.993</v>
      </c>
      <c r="D23" s="5">
        <v>46.811999999999998</v>
      </c>
      <c r="E23" s="5">
        <v>48.290999999999997</v>
      </c>
      <c r="F23" s="5">
        <v>2</v>
      </c>
      <c r="G23" s="5" t="s">
        <v>434</v>
      </c>
      <c r="H23" s="5" t="s">
        <v>431</v>
      </c>
      <c r="I23" s="5">
        <v>64</v>
      </c>
      <c r="J23" s="10">
        <f t="shared" si="1"/>
        <v>1</v>
      </c>
      <c r="K23" s="14" t="s">
        <v>466</v>
      </c>
      <c r="L23" s="12">
        <f t="shared" si="0"/>
        <v>0</v>
      </c>
    </row>
    <row r="24" spans="1:12" x14ac:dyDescent="0.3">
      <c r="A24" s="5">
        <v>1</v>
      </c>
      <c r="B24" s="5">
        <v>2</v>
      </c>
      <c r="C24" s="5">
        <v>55.031999999999996</v>
      </c>
      <c r="D24" s="5">
        <v>55.031999999999996</v>
      </c>
      <c r="E24" s="5">
        <v>56.445</v>
      </c>
      <c r="F24" s="5">
        <v>1</v>
      </c>
      <c r="G24" s="5" t="s">
        <v>434</v>
      </c>
      <c r="H24" s="5" t="s">
        <v>431</v>
      </c>
      <c r="I24" s="5">
        <v>96</v>
      </c>
      <c r="J24" s="10">
        <f t="shared" si="1"/>
        <v>1</v>
      </c>
      <c r="K24" s="14" t="s">
        <v>474</v>
      </c>
      <c r="L24" s="12">
        <f t="shared" si="0"/>
        <v>0</v>
      </c>
    </row>
    <row r="25" spans="1:12" x14ac:dyDescent="0.3">
      <c r="A25" s="5">
        <v>1</v>
      </c>
      <c r="B25" s="5">
        <v>2</v>
      </c>
      <c r="C25" s="5">
        <v>3.7189999999999999</v>
      </c>
      <c r="D25" s="5">
        <v>71.786000000000001</v>
      </c>
      <c r="E25" s="5">
        <v>73.186000000000007</v>
      </c>
      <c r="F25" s="5">
        <v>7</v>
      </c>
      <c r="G25" s="5" t="s">
        <v>431</v>
      </c>
      <c r="H25" s="5" t="s">
        <v>431</v>
      </c>
      <c r="I25" s="5">
        <v>100</v>
      </c>
      <c r="J25" s="10">
        <f t="shared" si="1"/>
        <v>1</v>
      </c>
      <c r="K25" s="14" t="s">
        <v>482</v>
      </c>
      <c r="L25" s="12">
        <f t="shared" si="0"/>
        <v>1</v>
      </c>
    </row>
    <row r="26" spans="1:12" x14ac:dyDescent="0.3">
      <c r="A26" s="5">
        <v>1</v>
      </c>
      <c r="B26" s="5">
        <v>2</v>
      </c>
      <c r="C26" s="5">
        <v>101.80500000000001</v>
      </c>
      <c r="D26" s="5">
        <v>101.80500000000001</v>
      </c>
      <c r="E26" s="5">
        <v>104.75700000000001</v>
      </c>
      <c r="F26" s="5">
        <v>1</v>
      </c>
      <c r="G26" s="5" t="s">
        <v>431</v>
      </c>
      <c r="H26" s="5" t="s">
        <v>431</v>
      </c>
      <c r="I26" s="5">
        <v>71</v>
      </c>
      <c r="J26" s="10">
        <f t="shared" si="1"/>
        <v>1</v>
      </c>
      <c r="K26" s="14" t="s">
        <v>490</v>
      </c>
      <c r="L26" s="12">
        <f t="shared" si="0"/>
        <v>1</v>
      </c>
    </row>
    <row r="27" spans="1:12" x14ac:dyDescent="0.3">
      <c r="A27" s="5">
        <v>1</v>
      </c>
      <c r="B27" s="5">
        <v>2</v>
      </c>
      <c r="C27" s="5">
        <v>9.0269999999999992</v>
      </c>
      <c r="D27" s="5">
        <v>28.073</v>
      </c>
      <c r="E27" s="5">
        <v>29.757999999999999</v>
      </c>
      <c r="F27" s="5">
        <v>46</v>
      </c>
      <c r="G27" s="5" t="s">
        <v>431</v>
      </c>
      <c r="H27" s="5" t="s">
        <v>431</v>
      </c>
      <c r="I27" s="5">
        <v>100</v>
      </c>
      <c r="J27" s="10">
        <f t="shared" si="1"/>
        <v>1</v>
      </c>
      <c r="K27" s="14" t="s">
        <v>498</v>
      </c>
      <c r="L27" s="12">
        <f t="shared" si="0"/>
        <v>1</v>
      </c>
    </row>
    <row r="28" spans="1:12" x14ac:dyDescent="0.3">
      <c r="A28" s="5">
        <v>1</v>
      </c>
      <c r="B28" s="5">
        <v>2</v>
      </c>
      <c r="C28" s="5">
        <v>34.856999999999999</v>
      </c>
      <c r="D28" s="5">
        <v>34.856999999999999</v>
      </c>
      <c r="E28" s="5">
        <v>38.872999999999998</v>
      </c>
      <c r="F28" s="5">
        <v>1</v>
      </c>
      <c r="G28" s="5" t="s">
        <v>431</v>
      </c>
      <c r="H28" s="5" t="s">
        <v>431</v>
      </c>
      <c r="I28" s="5">
        <v>100</v>
      </c>
      <c r="J28" s="10">
        <f t="shared" si="1"/>
        <v>1</v>
      </c>
      <c r="K28" s="14" t="s">
        <v>506</v>
      </c>
      <c r="L28" s="12">
        <f t="shared" si="0"/>
        <v>1</v>
      </c>
    </row>
    <row r="29" spans="1:12" x14ac:dyDescent="0.3">
      <c r="A29" s="5">
        <v>1</v>
      </c>
      <c r="B29" s="5">
        <v>2</v>
      </c>
      <c r="C29" s="5">
        <v>44.889000000000003</v>
      </c>
      <c r="D29" s="5">
        <v>44.889000000000003</v>
      </c>
      <c r="E29" s="5">
        <v>53.542999999999999</v>
      </c>
      <c r="F29" s="5">
        <v>1</v>
      </c>
      <c r="G29" s="5" t="s">
        <v>431</v>
      </c>
      <c r="H29" s="5" t="s">
        <v>431</v>
      </c>
      <c r="I29" s="5">
        <v>80</v>
      </c>
      <c r="J29" s="10">
        <f t="shared" si="1"/>
        <v>1</v>
      </c>
      <c r="K29" s="14" t="s">
        <v>514</v>
      </c>
      <c r="L29" s="12">
        <f t="shared" si="0"/>
        <v>1</v>
      </c>
    </row>
    <row r="30" spans="1:12" x14ac:dyDescent="0.3">
      <c r="A30" s="5">
        <v>1</v>
      </c>
      <c r="B30" s="5">
        <v>2</v>
      </c>
      <c r="C30" s="5">
        <v>30.631</v>
      </c>
      <c r="D30" s="5">
        <v>30.631</v>
      </c>
      <c r="E30" s="5">
        <v>36.228999999999999</v>
      </c>
      <c r="F30" s="5">
        <v>1</v>
      </c>
      <c r="G30" s="5" t="s">
        <v>431</v>
      </c>
      <c r="H30" s="5" t="s">
        <v>431</v>
      </c>
      <c r="I30" s="5">
        <v>96</v>
      </c>
      <c r="J30" s="10">
        <f t="shared" si="1"/>
        <v>0</v>
      </c>
      <c r="K30" s="14"/>
      <c r="L30" s="12">
        <f t="shared" si="0"/>
        <v>1</v>
      </c>
    </row>
    <row r="31" spans="1:12" x14ac:dyDescent="0.3">
      <c r="A31" s="5">
        <v>1</v>
      </c>
      <c r="B31" s="5">
        <v>2</v>
      </c>
      <c r="C31" s="5">
        <v>21.576000000000001</v>
      </c>
      <c r="D31" s="5">
        <v>21.576000000000001</v>
      </c>
      <c r="E31" s="5">
        <v>24.262</v>
      </c>
      <c r="F31" s="5">
        <v>1</v>
      </c>
      <c r="G31" s="5" t="s">
        <v>431</v>
      </c>
      <c r="H31" s="5" t="s">
        <v>431</v>
      </c>
      <c r="I31" s="5">
        <v>57</v>
      </c>
      <c r="J31" s="10">
        <f t="shared" si="1"/>
        <v>0</v>
      </c>
      <c r="K31" s="14"/>
      <c r="L31" s="12">
        <f t="shared" si="0"/>
        <v>1</v>
      </c>
    </row>
    <row r="32" spans="1:12" x14ac:dyDescent="0.3">
      <c r="A32" s="5">
        <v>1</v>
      </c>
      <c r="B32" s="5">
        <v>2</v>
      </c>
      <c r="C32" s="5">
        <v>58.151000000000003</v>
      </c>
      <c r="D32" s="5">
        <v>58.151000000000003</v>
      </c>
      <c r="E32" s="5">
        <v>59.692</v>
      </c>
      <c r="F32" s="5">
        <v>1</v>
      </c>
      <c r="G32" s="5" t="s">
        <v>431</v>
      </c>
      <c r="H32" s="5" t="s">
        <v>431</v>
      </c>
      <c r="I32" s="5">
        <v>100</v>
      </c>
      <c r="J32" s="10">
        <f t="shared" si="1"/>
        <v>1</v>
      </c>
      <c r="K32" s="14" t="s">
        <v>1155</v>
      </c>
      <c r="L32" s="12">
        <f t="shared" si="0"/>
        <v>1</v>
      </c>
    </row>
    <row r="33" spans="1:12" x14ac:dyDescent="0.3">
      <c r="A33" s="5">
        <v>1</v>
      </c>
      <c r="B33" s="5">
        <v>2</v>
      </c>
      <c r="C33" s="5">
        <v>66.787999999999997</v>
      </c>
      <c r="D33" s="5">
        <v>93.531999999999996</v>
      </c>
      <c r="E33" s="5">
        <v>95.555000000000007</v>
      </c>
      <c r="F33" s="5">
        <v>2</v>
      </c>
      <c r="G33" s="5" t="s">
        <v>434</v>
      </c>
      <c r="H33" s="5" t="s">
        <v>431</v>
      </c>
      <c r="I33" s="5">
        <v>100</v>
      </c>
      <c r="J33" s="10">
        <f t="shared" si="1"/>
        <v>1</v>
      </c>
      <c r="K33" s="14" t="s">
        <v>1163</v>
      </c>
      <c r="L33" s="12">
        <f t="shared" si="0"/>
        <v>0</v>
      </c>
    </row>
    <row r="34" spans="1:12" x14ac:dyDescent="0.3">
      <c r="A34" s="5">
        <v>1</v>
      </c>
      <c r="B34" s="5">
        <v>3</v>
      </c>
      <c r="C34" s="5">
        <v>31.058</v>
      </c>
      <c r="D34" s="5">
        <v>31.058</v>
      </c>
      <c r="E34" s="5">
        <v>40.238999999999997</v>
      </c>
      <c r="F34" s="5">
        <v>1</v>
      </c>
      <c r="G34" s="5" t="s">
        <v>434</v>
      </c>
      <c r="H34" s="5" t="s">
        <v>434</v>
      </c>
      <c r="I34" s="5">
        <v>90</v>
      </c>
      <c r="J34" s="10">
        <f t="shared" si="1"/>
        <v>1</v>
      </c>
      <c r="K34" s="14" t="s">
        <v>435</v>
      </c>
      <c r="L34" s="12">
        <f t="shared" si="0"/>
        <v>1</v>
      </c>
    </row>
    <row r="35" spans="1:12" x14ac:dyDescent="0.3">
      <c r="A35" s="5">
        <v>1</v>
      </c>
      <c r="B35" s="5">
        <v>3</v>
      </c>
      <c r="C35" s="5">
        <v>10.125999999999999</v>
      </c>
      <c r="D35" s="5">
        <v>12.093</v>
      </c>
      <c r="E35" s="5">
        <v>15.032999999999999</v>
      </c>
      <c r="F35" s="5">
        <v>3</v>
      </c>
      <c r="G35" s="5" t="s">
        <v>434</v>
      </c>
      <c r="H35" s="5" t="s">
        <v>434</v>
      </c>
      <c r="I35" s="5">
        <v>75</v>
      </c>
      <c r="J35" s="10">
        <f t="shared" si="1"/>
        <v>1</v>
      </c>
      <c r="K35" s="14" t="s">
        <v>443</v>
      </c>
      <c r="L35" s="12">
        <f t="shared" si="0"/>
        <v>1</v>
      </c>
    </row>
    <row r="36" spans="1:12" x14ac:dyDescent="0.3">
      <c r="A36" s="5">
        <v>1</v>
      </c>
      <c r="B36" s="5">
        <v>3</v>
      </c>
      <c r="C36" s="5">
        <v>8.9760000000000009</v>
      </c>
      <c r="D36" s="5">
        <v>9.8010000000000002</v>
      </c>
      <c r="E36" s="5">
        <v>11.569000000000001</v>
      </c>
      <c r="F36" s="5">
        <v>2</v>
      </c>
      <c r="G36" s="5" t="s">
        <v>431</v>
      </c>
      <c r="H36" s="5" t="s">
        <v>434</v>
      </c>
      <c r="I36" s="5">
        <v>83</v>
      </c>
      <c r="J36" s="10">
        <f t="shared" si="1"/>
        <v>0</v>
      </c>
      <c r="K36" s="14"/>
      <c r="L36" s="12">
        <f t="shared" si="0"/>
        <v>0</v>
      </c>
    </row>
    <row r="37" spans="1:12" x14ac:dyDescent="0.3">
      <c r="A37" s="5">
        <v>1</v>
      </c>
      <c r="B37" s="5">
        <v>3</v>
      </c>
      <c r="C37" s="5">
        <v>6.1109999999999998</v>
      </c>
      <c r="D37" s="5">
        <v>37.621000000000002</v>
      </c>
      <c r="E37" s="5">
        <v>38.444000000000003</v>
      </c>
      <c r="F37" s="5">
        <v>6</v>
      </c>
      <c r="G37" s="5" t="s">
        <v>431</v>
      </c>
      <c r="H37" s="5" t="s">
        <v>434</v>
      </c>
      <c r="I37" s="5">
        <v>56</v>
      </c>
      <c r="J37" s="10">
        <f t="shared" si="1"/>
        <v>1</v>
      </c>
      <c r="K37" s="14" t="s">
        <v>431</v>
      </c>
      <c r="L37" s="12">
        <f t="shared" si="0"/>
        <v>0</v>
      </c>
    </row>
    <row r="38" spans="1:12" x14ac:dyDescent="0.3">
      <c r="A38" s="5">
        <v>1</v>
      </c>
      <c r="B38" s="5">
        <v>3</v>
      </c>
      <c r="C38" s="5">
        <v>57.725999999999999</v>
      </c>
      <c r="D38" s="5">
        <v>58.048999999999999</v>
      </c>
      <c r="E38" s="5">
        <v>71.572000000000003</v>
      </c>
      <c r="F38" s="5">
        <v>2</v>
      </c>
      <c r="G38" s="5" t="s">
        <v>431</v>
      </c>
      <c r="H38" s="5" t="s">
        <v>434</v>
      </c>
      <c r="I38" s="5">
        <v>75</v>
      </c>
      <c r="J38" s="10">
        <f t="shared" si="1"/>
        <v>1</v>
      </c>
      <c r="K38" s="14" t="s">
        <v>459</v>
      </c>
      <c r="L38" s="12">
        <f t="shared" si="0"/>
        <v>0</v>
      </c>
    </row>
    <row r="39" spans="1:12" x14ac:dyDescent="0.3">
      <c r="A39" s="5">
        <v>1</v>
      </c>
      <c r="B39" s="5">
        <v>3</v>
      </c>
      <c r="C39" s="5">
        <v>11.932</v>
      </c>
      <c r="D39" s="5">
        <v>11.932</v>
      </c>
      <c r="E39" s="5">
        <v>21.983000000000001</v>
      </c>
      <c r="F39" s="5">
        <v>1</v>
      </c>
      <c r="G39" s="5" t="s">
        <v>431</v>
      </c>
      <c r="H39" s="5" t="s">
        <v>434</v>
      </c>
      <c r="I39" s="5">
        <v>78</v>
      </c>
      <c r="J39" s="10">
        <f t="shared" si="1"/>
        <v>1</v>
      </c>
      <c r="K39" s="14" t="s">
        <v>467</v>
      </c>
      <c r="L39" s="12">
        <f t="shared" si="0"/>
        <v>0</v>
      </c>
    </row>
    <row r="40" spans="1:12" x14ac:dyDescent="0.3">
      <c r="A40" s="5">
        <v>1</v>
      </c>
      <c r="B40" s="5">
        <v>3</v>
      </c>
      <c r="C40" s="5">
        <v>88.513000000000005</v>
      </c>
      <c r="D40" s="5">
        <v>88.513000000000005</v>
      </c>
      <c r="E40" s="5">
        <v>594.76099999999997</v>
      </c>
      <c r="F40" s="5">
        <v>1</v>
      </c>
      <c r="G40" s="5" t="s">
        <v>434</v>
      </c>
      <c r="H40" s="5" t="s">
        <v>434</v>
      </c>
      <c r="I40" s="5">
        <v>97</v>
      </c>
      <c r="J40" s="10">
        <f t="shared" si="1"/>
        <v>1</v>
      </c>
      <c r="K40" s="14" t="s">
        <v>475</v>
      </c>
      <c r="L40" s="12">
        <f t="shared" si="0"/>
        <v>1</v>
      </c>
    </row>
    <row r="41" spans="1:12" x14ac:dyDescent="0.3">
      <c r="A41" s="5">
        <v>1</v>
      </c>
      <c r="B41" s="5">
        <v>3</v>
      </c>
      <c r="C41" s="5">
        <v>5.7590000000000003</v>
      </c>
      <c r="D41" s="5">
        <v>32.341000000000001</v>
      </c>
      <c r="E41" s="5">
        <v>33.801000000000002</v>
      </c>
      <c r="F41" s="5">
        <v>5</v>
      </c>
      <c r="G41" s="5" t="s">
        <v>434</v>
      </c>
      <c r="H41" s="5" t="s">
        <v>434</v>
      </c>
      <c r="I41" s="5">
        <v>100</v>
      </c>
      <c r="J41" s="10">
        <f t="shared" si="1"/>
        <v>1</v>
      </c>
      <c r="K41" s="14" t="s">
        <v>483</v>
      </c>
      <c r="L41" s="12">
        <f t="shared" si="0"/>
        <v>1</v>
      </c>
    </row>
    <row r="42" spans="1:12" x14ac:dyDescent="0.3">
      <c r="A42" s="5">
        <v>1</v>
      </c>
      <c r="B42" s="5">
        <v>3</v>
      </c>
      <c r="C42" s="5">
        <v>16.096</v>
      </c>
      <c r="D42" s="5">
        <v>16.096</v>
      </c>
      <c r="E42" s="5">
        <v>25.707000000000001</v>
      </c>
      <c r="F42" s="5">
        <v>1</v>
      </c>
      <c r="G42" s="5" t="s">
        <v>434</v>
      </c>
      <c r="H42" s="5" t="s">
        <v>434</v>
      </c>
      <c r="I42" s="5">
        <v>66</v>
      </c>
      <c r="J42" s="10">
        <f t="shared" si="1"/>
        <v>1</v>
      </c>
      <c r="K42" s="14" t="s">
        <v>491</v>
      </c>
      <c r="L42" s="12">
        <f t="shared" si="0"/>
        <v>1</v>
      </c>
    </row>
    <row r="43" spans="1:12" x14ac:dyDescent="0.3">
      <c r="A43" s="5">
        <v>1</v>
      </c>
      <c r="B43" s="5">
        <v>3</v>
      </c>
      <c r="C43" s="5">
        <v>12.772</v>
      </c>
      <c r="D43" s="5">
        <v>12.772</v>
      </c>
      <c r="E43" s="5">
        <v>13.553000000000001</v>
      </c>
      <c r="F43" s="5">
        <v>1</v>
      </c>
      <c r="G43" s="5" t="s">
        <v>434</v>
      </c>
      <c r="H43" s="5" t="s">
        <v>434</v>
      </c>
      <c r="I43" s="5">
        <v>59</v>
      </c>
      <c r="J43" s="10">
        <f t="shared" si="1"/>
        <v>1</v>
      </c>
      <c r="K43" s="14" t="s">
        <v>499</v>
      </c>
      <c r="L43" s="12">
        <f t="shared" si="0"/>
        <v>1</v>
      </c>
    </row>
    <row r="44" spans="1:12" x14ac:dyDescent="0.3">
      <c r="A44" s="5">
        <v>1</v>
      </c>
      <c r="B44" s="5">
        <v>3</v>
      </c>
      <c r="C44" s="5">
        <v>53.7</v>
      </c>
      <c r="D44" s="5">
        <v>53.7</v>
      </c>
      <c r="E44" s="5">
        <v>58.481999999999999</v>
      </c>
      <c r="F44" s="5">
        <v>1</v>
      </c>
      <c r="G44" s="5" t="s">
        <v>434</v>
      </c>
      <c r="H44" s="5" t="s">
        <v>434</v>
      </c>
      <c r="I44" s="5">
        <v>100</v>
      </c>
      <c r="J44" s="10">
        <f t="shared" si="1"/>
        <v>1</v>
      </c>
      <c r="K44" s="14" t="s">
        <v>507</v>
      </c>
      <c r="L44" s="12">
        <f t="shared" si="0"/>
        <v>1</v>
      </c>
    </row>
    <row r="45" spans="1:12" x14ac:dyDescent="0.3">
      <c r="A45" s="5">
        <v>1</v>
      </c>
      <c r="B45" s="5">
        <v>3</v>
      </c>
      <c r="C45" s="5">
        <v>71.430999999999997</v>
      </c>
      <c r="D45" s="5">
        <v>71.430999999999997</v>
      </c>
      <c r="E45" s="5">
        <v>73.989000000000004</v>
      </c>
      <c r="F45" s="5">
        <v>1</v>
      </c>
      <c r="G45" s="5" t="s">
        <v>431</v>
      </c>
      <c r="H45" s="5" t="s">
        <v>434</v>
      </c>
      <c r="I45" s="5">
        <v>80</v>
      </c>
      <c r="J45" s="10">
        <f t="shared" si="1"/>
        <v>1</v>
      </c>
      <c r="K45" s="14" t="s">
        <v>515</v>
      </c>
      <c r="L45" s="12">
        <f t="shared" si="0"/>
        <v>0</v>
      </c>
    </row>
    <row r="46" spans="1:12" x14ac:dyDescent="0.3">
      <c r="A46" s="5">
        <v>1</v>
      </c>
      <c r="B46" s="5">
        <v>3</v>
      </c>
      <c r="C46" s="5">
        <v>3.1269999999999998</v>
      </c>
      <c r="D46" s="5">
        <v>7.883</v>
      </c>
      <c r="E46" s="5">
        <v>8.7379999999999995</v>
      </c>
      <c r="F46" s="5">
        <v>2</v>
      </c>
      <c r="G46" s="5" t="s">
        <v>431</v>
      </c>
      <c r="H46" s="5" t="s">
        <v>434</v>
      </c>
      <c r="I46" s="5">
        <v>98</v>
      </c>
      <c r="J46" s="10">
        <f t="shared" si="1"/>
        <v>0</v>
      </c>
      <c r="K46" s="14"/>
      <c r="L46" s="12">
        <f t="shared" si="0"/>
        <v>0</v>
      </c>
    </row>
    <row r="47" spans="1:12" x14ac:dyDescent="0.3">
      <c r="A47" s="5">
        <v>1</v>
      </c>
      <c r="B47" s="5">
        <v>3</v>
      </c>
      <c r="C47" s="5">
        <v>9.8879999999999999</v>
      </c>
      <c r="D47" s="5">
        <v>62.828000000000003</v>
      </c>
      <c r="E47" s="5">
        <v>64.819999999999993</v>
      </c>
      <c r="F47" s="5">
        <v>6</v>
      </c>
      <c r="G47" s="5" t="s">
        <v>434</v>
      </c>
      <c r="H47" s="5" t="s">
        <v>434</v>
      </c>
      <c r="I47" s="5">
        <v>72</v>
      </c>
      <c r="J47" s="10">
        <f t="shared" si="1"/>
        <v>0</v>
      </c>
      <c r="K47" s="14"/>
      <c r="L47" s="12">
        <f t="shared" si="0"/>
        <v>1</v>
      </c>
    </row>
    <row r="48" spans="1:12" x14ac:dyDescent="0.3">
      <c r="A48" s="5">
        <v>1</v>
      </c>
      <c r="B48" s="5">
        <v>3</v>
      </c>
      <c r="C48" s="5">
        <v>17.123999999999999</v>
      </c>
      <c r="D48" s="5">
        <v>17.123999999999999</v>
      </c>
      <c r="E48" s="5">
        <v>18.783000000000001</v>
      </c>
      <c r="F48" s="5">
        <v>1</v>
      </c>
      <c r="G48" s="5" t="s">
        <v>431</v>
      </c>
      <c r="H48" s="5" t="s">
        <v>434</v>
      </c>
      <c r="I48" s="5">
        <v>100</v>
      </c>
      <c r="J48" s="10">
        <f t="shared" si="1"/>
        <v>1</v>
      </c>
      <c r="K48" s="14" t="s">
        <v>1156</v>
      </c>
      <c r="L48" s="12">
        <f t="shared" si="0"/>
        <v>0</v>
      </c>
    </row>
    <row r="49" spans="1:12" x14ac:dyDescent="0.3">
      <c r="A49" s="5">
        <v>1</v>
      </c>
      <c r="B49" s="5">
        <v>3</v>
      </c>
      <c r="C49" s="5">
        <v>63.421999999999997</v>
      </c>
      <c r="D49" s="5">
        <v>63.421999999999997</v>
      </c>
      <c r="E49" s="5">
        <v>65.052999999999997</v>
      </c>
      <c r="F49" s="5">
        <v>1</v>
      </c>
      <c r="G49" s="5" t="s">
        <v>434</v>
      </c>
      <c r="H49" s="5" t="s">
        <v>434</v>
      </c>
      <c r="I49" s="5">
        <v>100</v>
      </c>
      <c r="J49" s="10">
        <f t="shared" si="1"/>
        <v>1</v>
      </c>
      <c r="K49" s="14" t="s">
        <v>1164</v>
      </c>
      <c r="L49" s="12">
        <f t="shared" si="0"/>
        <v>1</v>
      </c>
    </row>
    <row r="50" spans="1:12" x14ac:dyDescent="0.3">
      <c r="A50" s="5">
        <v>1</v>
      </c>
      <c r="B50" s="5">
        <v>4</v>
      </c>
      <c r="C50" s="5">
        <v>71.376000000000005</v>
      </c>
      <c r="D50" s="5">
        <v>71.376000000000005</v>
      </c>
      <c r="E50" s="5">
        <v>138.17099999999999</v>
      </c>
      <c r="F50" s="5">
        <v>1</v>
      </c>
      <c r="G50" s="5" t="s">
        <v>434</v>
      </c>
      <c r="H50" s="5" t="s">
        <v>434</v>
      </c>
      <c r="I50" s="5">
        <v>71</v>
      </c>
      <c r="J50" s="10">
        <f t="shared" si="1"/>
        <v>1</v>
      </c>
      <c r="K50" s="14" t="s">
        <v>436</v>
      </c>
      <c r="L50" s="12">
        <f t="shared" si="0"/>
        <v>1</v>
      </c>
    </row>
    <row r="51" spans="1:12" x14ac:dyDescent="0.3">
      <c r="A51" s="5">
        <v>1</v>
      </c>
      <c r="B51" s="5">
        <v>4</v>
      </c>
      <c r="C51" s="5">
        <v>4.673</v>
      </c>
      <c r="D51" s="5">
        <v>5.0229999999999997</v>
      </c>
      <c r="E51" s="5">
        <v>5.8739999999999997</v>
      </c>
      <c r="F51" s="5">
        <v>2</v>
      </c>
      <c r="G51" s="5" t="s">
        <v>434</v>
      </c>
      <c r="H51" s="5" t="s">
        <v>434</v>
      </c>
      <c r="I51" s="5">
        <v>85</v>
      </c>
      <c r="J51" s="10">
        <f t="shared" si="1"/>
        <v>1</v>
      </c>
      <c r="K51" s="14" t="s">
        <v>444</v>
      </c>
      <c r="L51" s="12">
        <f t="shared" si="0"/>
        <v>1</v>
      </c>
    </row>
    <row r="52" spans="1:12" x14ac:dyDescent="0.3">
      <c r="A52" s="5">
        <v>1</v>
      </c>
      <c r="B52" s="5">
        <v>4</v>
      </c>
      <c r="C52" s="5">
        <v>7.6079999999999997</v>
      </c>
      <c r="D52" s="5">
        <v>8.7349999999999994</v>
      </c>
      <c r="E52" s="5">
        <v>9.7279999999999998</v>
      </c>
      <c r="F52" s="5">
        <v>2</v>
      </c>
      <c r="G52" s="5" t="s">
        <v>434</v>
      </c>
      <c r="H52" s="5" t="s">
        <v>434</v>
      </c>
      <c r="I52" s="5">
        <v>100</v>
      </c>
      <c r="J52" s="10">
        <f t="shared" si="1"/>
        <v>0</v>
      </c>
      <c r="K52" s="14"/>
      <c r="L52" s="12">
        <f t="shared" si="0"/>
        <v>1</v>
      </c>
    </row>
    <row r="53" spans="1:12" x14ac:dyDescent="0.3">
      <c r="A53" s="5">
        <v>1</v>
      </c>
      <c r="B53" s="5">
        <v>4</v>
      </c>
      <c r="C53" s="5">
        <v>2.1720000000000002</v>
      </c>
      <c r="D53" s="5">
        <v>74.001999999999995</v>
      </c>
      <c r="E53" s="5">
        <v>86.472999999999999</v>
      </c>
      <c r="F53" s="5">
        <v>5</v>
      </c>
      <c r="G53" s="5" t="s">
        <v>434</v>
      </c>
      <c r="H53" s="5" t="s">
        <v>434</v>
      </c>
      <c r="I53" s="5">
        <v>100</v>
      </c>
      <c r="J53" s="10">
        <f t="shared" si="1"/>
        <v>1</v>
      </c>
      <c r="K53" s="14" t="s">
        <v>452</v>
      </c>
      <c r="L53" s="12">
        <f t="shared" si="0"/>
        <v>1</v>
      </c>
    </row>
    <row r="54" spans="1:12" x14ac:dyDescent="0.3">
      <c r="A54" s="5">
        <v>1</v>
      </c>
      <c r="B54" s="5">
        <v>4</v>
      </c>
      <c r="C54" s="5">
        <v>37.957999999999998</v>
      </c>
      <c r="D54" s="5">
        <v>37.957999999999998</v>
      </c>
      <c r="E54" s="5">
        <v>42.124000000000002</v>
      </c>
      <c r="F54" s="5">
        <v>1</v>
      </c>
      <c r="G54" s="5" t="s">
        <v>434</v>
      </c>
      <c r="H54" s="5" t="s">
        <v>434</v>
      </c>
      <c r="I54" s="5">
        <v>100</v>
      </c>
      <c r="J54" s="10">
        <f t="shared" si="1"/>
        <v>1</v>
      </c>
      <c r="K54" s="14" t="s">
        <v>460</v>
      </c>
      <c r="L54" s="12">
        <f t="shared" si="0"/>
        <v>1</v>
      </c>
    </row>
    <row r="55" spans="1:12" x14ac:dyDescent="0.3">
      <c r="A55" s="5">
        <v>1</v>
      </c>
      <c r="B55" s="5">
        <v>4</v>
      </c>
      <c r="C55" s="5">
        <v>13.407999999999999</v>
      </c>
      <c r="D55" s="5">
        <v>13.407999999999999</v>
      </c>
      <c r="E55" s="5">
        <v>57.822000000000003</v>
      </c>
      <c r="F55" s="5">
        <v>1</v>
      </c>
      <c r="G55" s="5" t="s">
        <v>434</v>
      </c>
      <c r="H55" s="5" t="s">
        <v>434</v>
      </c>
      <c r="I55" s="5">
        <v>51</v>
      </c>
      <c r="J55" s="10">
        <f t="shared" si="1"/>
        <v>1</v>
      </c>
      <c r="K55" s="14" t="s">
        <v>468</v>
      </c>
      <c r="L55" s="12">
        <f t="shared" si="0"/>
        <v>1</v>
      </c>
    </row>
    <row r="56" spans="1:12" x14ac:dyDescent="0.3">
      <c r="A56" s="5">
        <v>1</v>
      </c>
      <c r="B56" s="5">
        <v>4</v>
      </c>
      <c r="C56" s="5">
        <v>172.149</v>
      </c>
      <c r="D56" s="5">
        <v>172.149</v>
      </c>
      <c r="E56" s="5">
        <v>173.62</v>
      </c>
      <c r="F56" s="5">
        <v>1</v>
      </c>
      <c r="G56" s="5" t="s">
        <v>434</v>
      </c>
      <c r="H56" s="5" t="s">
        <v>434</v>
      </c>
      <c r="I56" s="5">
        <v>91</v>
      </c>
      <c r="J56" s="10">
        <f t="shared" si="1"/>
        <v>1</v>
      </c>
      <c r="K56" s="14" t="s">
        <v>476</v>
      </c>
      <c r="L56" s="12">
        <f t="shared" si="0"/>
        <v>1</v>
      </c>
    </row>
    <row r="57" spans="1:12" x14ac:dyDescent="0.3">
      <c r="A57" s="5">
        <v>1</v>
      </c>
      <c r="B57" s="5">
        <v>4</v>
      </c>
      <c r="C57" s="5">
        <v>2.0680000000000001</v>
      </c>
      <c r="D57" s="5">
        <v>25.327999999999999</v>
      </c>
      <c r="E57" s="5">
        <v>26.341000000000001</v>
      </c>
      <c r="F57" s="5">
        <v>5</v>
      </c>
      <c r="G57" s="5" t="s">
        <v>434</v>
      </c>
      <c r="H57" s="5" t="s">
        <v>434</v>
      </c>
      <c r="I57" s="5">
        <v>100</v>
      </c>
      <c r="J57" s="10">
        <f t="shared" si="1"/>
        <v>1</v>
      </c>
      <c r="K57" s="14" t="s">
        <v>484</v>
      </c>
      <c r="L57" s="12">
        <f t="shared" si="0"/>
        <v>1</v>
      </c>
    </row>
    <row r="58" spans="1:12" x14ac:dyDescent="0.3">
      <c r="A58" s="5">
        <v>1</v>
      </c>
      <c r="B58" s="5">
        <v>4</v>
      </c>
      <c r="C58" s="5">
        <v>22.547999999999998</v>
      </c>
      <c r="D58" s="5">
        <v>27.838000000000001</v>
      </c>
      <c r="E58" s="5">
        <v>43.198</v>
      </c>
      <c r="F58" s="5">
        <v>2</v>
      </c>
      <c r="G58" s="5" t="s">
        <v>434</v>
      </c>
      <c r="H58" s="5" t="s">
        <v>434</v>
      </c>
      <c r="I58" s="5">
        <v>67</v>
      </c>
      <c r="J58" s="10">
        <f t="shared" si="1"/>
        <v>1</v>
      </c>
      <c r="K58" s="14" t="s">
        <v>492</v>
      </c>
      <c r="L58" s="12">
        <f t="shared" si="0"/>
        <v>1</v>
      </c>
    </row>
    <row r="59" spans="1:12" x14ac:dyDescent="0.3">
      <c r="A59" s="5">
        <v>1</v>
      </c>
      <c r="B59" s="5">
        <v>4</v>
      </c>
      <c r="C59" s="5">
        <v>11.891</v>
      </c>
      <c r="D59" s="5">
        <v>11.891</v>
      </c>
      <c r="E59" s="5">
        <v>13.14</v>
      </c>
      <c r="F59" s="5">
        <v>1</v>
      </c>
      <c r="G59" s="5" t="s">
        <v>434</v>
      </c>
      <c r="H59" s="5" t="s">
        <v>434</v>
      </c>
      <c r="I59" s="5">
        <v>62</v>
      </c>
      <c r="J59" s="10">
        <f t="shared" si="1"/>
        <v>1</v>
      </c>
      <c r="K59" s="14" t="s">
        <v>500</v>
      </c>
      <c r="L59" s="12">
        <f t="shared" si="0"/>
        <v>1</v>
      </c>
    </row>
    <row r="60" spans="1:12" x14ac:dyDescent="0.3">
      <c r="A60" s="5">
        <v>1</v>
      </c>
      <c r="B60" s="5">
        <v>4</v>
      </c>
      <c r="C60" s="5">
        <v>40.817</v>
      </c>
      <c r="D60" s="5">
        <v>40.817</v>
      </c>
      <c r="E60" s="5">
        <v>42.65</v>
      </c>
      <c r="F60" s="5">
        <v>1</v>
      </c>
      <c r="G60" s="5" t="s">
        <v>434</v>
      </c>
      <c r="H60" s="5" t="s">
        <v>434</v>
      </c>
      <c r="I60" s="5">
        <v>100</v>
      </c>
      <c r="J60" s="10">
        <f t="shared" si="1"/>
        <v>1</v>
      </c>
      <c r="K60" s="14" t="s">
        <v>508</v>
      </c>
      <c r="L60" s="12">
        <f t="shared" si="0"/>
        <v>1</v>
      </c>
    </row>
    <row r="61" spans="1:12" x14ac:dyDescent="0.3">
      <c r="A61" s="5">
        <v>1</v>
      </c>
      <c r="B61" s="5">
        <v>4</v>
      </c>
      <c r="C61" s="5">
        <v>17.170000000000002</v>
      </c>
      <c r="D61" s="5">
        <v>17.170000000000002</v>
      </c>
      <c r="E61" s="5">
        <v>38.209000000000003</v>
      </c>
      <c r="F61" s="5">
        <v>1</v>
      </c>
      <c r="G61" s="5" t="s">
        <v>434</v>
      </c>
      <c r="H61" s="5" t="s">
        <v>434</v>
      </c>
      <c r="I61" s="5">
        <v>80</v>
      </c>
      <c r="J61" s="10">
        <f t="shared" si="1"/>
        <v>1</v>
      </c>
      <c r="K61" s="14" t="s">
        <v>516</v>
      </c>
      <c r="L61" s="12">
        <f t="shared" si="0"/>
        <v>1</v>
      </c>
    </row>
    <row r="62" spans="1:12" x14ac:dyDescent="0.3">
      <c r="A62" s="5">
        <v>1</v>
      </c>
      <c r="B62" s="5">
        <v>4</v>
      </c>
      <c r="C62" s="5">
        <v>11942.136</v>
      </c>
      <c r="D62" s="5">
        <v>11942.136</v>
      </c>
      <c r="E62" s="5">
        <v>11944.273999999999</v>
      </c>
      <c r="F62" s="5">
        <v>1</v>
      </c>
      <c r="G62" s="5" t="s">
        <v>434</v>
      </c>
      <c r="H62" s="5" t="s">
        <v>434</v>
      </c>
      <c r="I62" s="5">
        <v>100</v>
      </c>
      <c r="J62" s="10">
        <f t="shared" si="1"/>
        <v>0</v>
      </c>
      <c r="K62" s="14"/>
      <c r="L62" s="12">
        <f t="shared" si="0"/>
        <v>1</v>
      </c>
    </row>
    <row r="63" spans="1:12" x14ac:dyDescent="0.3">
      <c r="A63" s="5">
        <v>1</v>
      </c>
      <c r="B63" s="5">
        <v>4</v>
      </c>
      <c r="C63" s="5">
        <v>14.12</v>
      </c>
      <c r="D63" s="5">
        <v>14.12</v>
      </c>
      <c r="E63" s="5">
        <v>18.963999999999999</v>
      </c>
      <c r="F63" s="5">
        <v>1</v>
      </c>
      <c r="G63" s="5" t="s">
        <v>431</v>
      </c>
      <c r="H63" s="5" t="s">
        <v>434</v>
      </c>
      <c r="I63" s="5">
        <v>66</v>
      </c>
      <c r="J63" s="10">
        <f t="shared" si="1"/>
        <v>0</v>
      </c>
      <c r="K63" s="14"/>
      <c r="L63" s="12">
        <f t="shared" si="0"/>
        <v>0</v>
      </c>
    </row>
    <row r="64" spans="1:12" x14ac:dyDescent="0.3">
      <c r="A64" s="5">
        <v>1</v>
      </c>
      <c r="B64" s="5">
        <v>4</v>
      </c>
      <c r="C64" s="5">
        <v>32.923999999999999</v>
      </c>
      <c r="D64" s="5">
        <v>32.923999999999999</v>
      </c>
      <c r="E64" s="5">
        <v>34.481000000000002</v>
      </c>
      <c r="F64" s="5">
        <v>1</v>
      </c>
      <c r="G64" s="5" t="s">
        <v>434</v>
      </c>
      <c r="H64" s="5" t="s">
        <v>434</v>
      </c>
      <c r="I64" s="5">
        <v>100</v>
      </c>
      <c r="J64" s="10">
        <f t="shared" si="1"/>
        <v>1</v>
      </c>
      <c r="K64" s="14" t="s">
        <v>1157</v>
      </c>
      <c r="L64" s="12">
        <f t="shared" si="0"/>
        <v>1</v>
      </c>
    </row>
    <row r="65" spans="1:12" x14ac:dyDescent="0.3">
      <c r="A65" s="5">
        <v>1</v>
      </c>
      <c r="B65" s="5">
        <v>4</v>
      </c>
      <c r="C65" s="5">
        <v>57.976999999999997</v>
      </c>
      <c r="D65" s="5">
        <v>57.976999999999997</v>
      </c>
      <c r="E65" s="5">
        <v>60.558999999999997</v>
      </c>
      <c r="F65" s="5">
        <v>1</v>
      </c>
      <c r="G65" s="5" t="s">
        <v>434</v>
      </c>
      <c r="H65" s="5" t="s">
        <v>434</v>
      </c>
      <c r="I65" s="5">
        <v>85</v>
      </c>
      <c r="J65" s="10">
        <f t="shared" si="1"/>
        <v>1</v>
      </c>
      <c r="K65" s="14" t="s">
        <v>1165</v>
      </c>
      <c r="L65" s="12">
        <f t="shared" si="0"/>
        <v>1</v>
      </c>
    </row>
    <row r="66" spans="1:12" x14ac:dyDescent="0.3">
      <c r="A66" s="5">
        <v>1</v>
      </c>
      <c r="B66" s="5">
        <v>5</v>
      </c>
      <c r="C66" s="5">
        <v>208.88900000000001</v>
      </c>
      <c r="D66" s="5">
        <v>208.88900000000001</v>
      </c>
      <c r="E66" s="5">
        <v>256.34100000000001</v>
      </c>
      <c r="F66" s="5">
        <v>1</v>
      </c>
      <c r="G66" s="5" t="s">
        <v>434</v>
      </c>
      <c r="H66" s="5" t="s">
        <v>431</v>
      </c>
      <c r="I66" s="5">
        <v>50</v>
      </c>
      <c r="J66" s="10">
        <f t="shared" si="1"/>
        <v>1</v>
      </c>
      <c r="K66" s="14" t="s">
        <v>437</v>
      </c>
      <c r="L66" s="12">
        <f t="shared" ref="L66:L129" si="2">IF(G66=H66, 1, 0)</f>
        <v>0</v>
      </c>
    </row>
    <row r="67" spans="1:12" x14ac:dyDescent="0.3">
      <c r="A67" s="5">
        <v>1</v>
      </c>
      <c r="B67" s="5">
        <v>5</v>
      </c>
      <c r="C67" s="5">
        <v>3.9060000000000001</v>
      </c>
      <c r="D67" s="5">
        <v>59.923999999999999</v>
      </c>
      <c r="E67" s="5">
        <v>60.95</v>
      </c>
      <c r="F67" s="5">
        <v>3</v>
      </c>
      <c r="G67" s="5" t="s">
        <v>431</v>
      </c>
      <c r="H67" s="5" t="s">
        <v>431</v>
      </c>
      <c r="I67" s="5">
        <v>100</v>
      </c>
      <c r="J67" s="10">
        <f t="shared" ref="J67:J130" si="3">IF(ISBLANK(K67), 0, 1)</f>
        <v>1</v>
      </c>
      <c r="K67" s="14" t="s">
        <v>445</v>
      </c>
      <c r="L67" s="12">
        <f t="shared" si="2"/>
        <v>1</v>
      </c>
    </row>
    <row r="68" spans="1:12" x14ac:dyDescent="0.3">
      <c r="A68" s="5">
        <v>1</v>
      </c>
      <c r="B68" s="5">
        <v>5</v>
      </c>
      <c r="C68" s="5">
        <v>12.358000000000001</v>
      </c>
      <c r="D68" s="5">
        <v>16.838000000000001</v>
      </c>
      <c r="E68" s="5">
        <v>31.009</v>
      </c>
      <c r="F68" s="5">
        <v>2</v>
      </c>
      <c r="G68" s="5" t="s">
        <v>431</v>
      </c>
      <c r="H68" s="5" t="s">
        <v>431</v>
      </c>
      <c r="I68" s="5">
        <v>91</v>
      </c>
      <c r="J68" s="10">
        <f t="shared" si="3"/>
        <v>0</v>
      </c>
      <c r="K68" s="14"/>
      <c r="L68" s="12">
        <f t="shared" si="2"/>
        <v>1</v>
      </c>
    </row>
    <row r="69" spans="1:12" x14ac:dyDescent="0.3">
      <c r="A69" s="5">
        <v>1</v>
      </c>
      <c r="B69" s="5">
        <v>5</v>
      </c>
      <c r="C69" s="5">
        <v>9.9700000000000006</v>
      </c>
      <c r="D69" s="5">
        <v>52.997999999999998</v>
      </c>
      <c r="E69" s="5">
        <v>54.165999999999997</v>
      </c>
      <c r="F69" s="5">
        <v>9</v>
      </c>
      <c r="G69" s="5" t="s">
        <v>431</v>
      </c>
      <c r="H69" s="5" t="s">
        <v>431</v>
      </c>
      <c r="I69" s="5">
        <v>98</v>
      </c>
      <c r="J69" s="10">
        <f t="shared" si="3"/>
        <v>1</v>
      </c>
      <c r="K69" s="14" t="s">
        <v>453</v>
      </c>
      <c r="L69" s="12">
        <f t="shared" si="2"/>
        <v>1</v>
      </c>
    </row>
    <row r="70" spans="1:12" x14ac:dyDescent="0.3">
      <c r="A70" s="5">
        <v>1</v>
      </c>
      <c r="B70" s="5">
        <v>5</v>
      </c>
      <c r="C70" s="5">
        <v>27.187999999999999</v>
      </c>
      <c r="D70" s="5">
        <v>27.187999999999999</v>
      </c>
      <c r="E70" s="5">
        <v>49.869</v>
      </c>
      <c r="F70" s="5">
        <v>1</v>
      </c>
      <c r="G70" s="5" t="s">
        <v>434</v>
      </c>
      <c r="H70" s="5" t="s">
        <v>431</v>
      </c>
      <c r="I70" s="5">
        <v>100</v>
      </c>
      <c r="J70" s="10">
        <f t="shared" si="3"/>
        <v>1</v>
      </c>
      <c r="K70" s="14" t="s">
        <v>461</v>
      </c>
      <c r="L70" s="12">
        <f t="shared" si="2"/>
        <v>0</v>
      </c>
    </row>
    <row r="71" spans="1:12" x14ac:dyDescent="0.3">
      <c r="A71" s="5">
        <v>1</v>
      </c>
      <c r="B71" s="5">
        <v>5</v>
      </c>
      <c r="C71" s="5">
        <v>28.673999999999999</v>
      </c>
      <c r="D71" s="5">
        <v>28.673999999999999</v>
      </c>
      <c r="E71" s="5">
        <v>31.268999999999998</v>
      </c>
      <c r="F71" s="5">
        <v>1</v>
      </c>
      <c r="G71" s="5" t="s">
        <v>434</v>
      </c>
      <c r="H71" s="5" t="s">
        <v>431</v>
      </c>
      <c r="I71" s="5">
        <v>85</v>
      </c>
      <c r="J71" s="10">
        <f t="shared" si="3"/>
        <v>1</v>
      </c>
      <c r="K71" s="14" t="s">
        <v>469</v>
      </c>
      <c r="L71" s="12">
        <f t="shared" si="2"/>
        <v>0</v>
      </c>
    </row>
    <row r="72" spans="1:12" x14ac:dyDescent="0.3">
      <c r="A72" s="5">
        <v>1</v>
      </c>
      <c r="B72" s="5">
        <v>5</v>
      </c>
      <c r="C72" s="5">
        <v>47.584000000000003</v>
      </c>
      <c r="D72" s="5">
        <v>47.584000000000003</v>
      </c>
      <c r="E72" s="5">
        <v>64.369</v>
      </c>
      <c r="F72" s="5">
        <v>1</v>
      </c>
      <c r="G72" s="5" t="s">
        <v>431</v>
      </c>
      <c r="H72" s="5" t="s">
        <v>431</v>
      </c>
      <c r="I72" s="5">
        <v>100</v>
      </c>
      <c r="J72" s="10">
        <f t="shared" si="3"/>
        <v>1</v>
      </c>
      <c r="K72" s="14" t="s">
        <v>477</v>
      </c>
      <c r="L72" s="12">
        <f t="shared" si="2"/>
        <v>1</v>
      </c>
    </row>
    <row r="73" spans="1:12" x14ac:dyDescent="0.3">
      <c r="A73" s="5">
        <v>1</v>
      </c>
      <c r="B73" s="5">
        <v>5</v>
      </c>
      <c r="C73" s="5">
        <v>1.7210000000000001</v>
      </c>
      <c r="D73" s="5">
        <v>58.823</v>
      </c>
      <c r="E73" s="5">
        <v>59.963000000000001</v>
      </c>
      <c r="F73" s="5">
        <v>7</v>
      </c>
      <c r="G73" s="5" t="s">
        <v>431</v>
      </c>
      <c r="H73" s="5" t="s">
        <v>431</v>
      </c>
      <c r="I73" s="5">
        <v>100</v>
      </c>
      <c r="J73" s="10">
        <f t="shared" si="3"/>
        <v>1</v>
      </c>
      <c r="K73" s="14" t="s">
        <v>485</v>
      </c>
      <c r="L73" s="12">
        <f t="shared" si="2"/>
        <v>1</v>
      </c>
    </row>
    <row r="74" spans="1:12" x14ac:dyDescent="0.3">
      <c r="A74" s="5">
        <v>1</v>
      </c>
      <c r="B74" s="5">
        <v>5</v>
      </c>
      <c r="C74" s="5">
        <v>23.876000000000001</v>
      </c>
      <c r="D74" s="5">
        <v>24.370999999999999</v>
      </c>
      <c r="E74" s="5">
        <v>25.646999999999998</v>
      </c>
      <c r="F74" s="5">
        <v>2</v>
      </c>
      <c r="G74" s="5" t="s">
        <v>431</v>
      </c>
      <c r="H74" s="5" t="s">
        <v>431</v>
      </c>
      <c r="I74" s="5">
        <v>68</v>
      </c>
      <c r="J74" s="10">
        <f t="shared" si="3"/>
        <v>1</v>
      </c>
      <c r="K74" s="14" t="s">
        <v>493</v>
      </c>
      <c r="L74" s="12">
        <f t="shared" si="2"/>
        <v>1</v>
      </c>
    </row>
    <row r="75" spans="1:12" x14ac:dyDescent="0.3">
      <c r="A75" s="5">
        <v>1</v>
      </c>
      <c r="B75" s="5">
        <v>5</v>
      </c>
      <c r="C75" s="5">
        <v>31.251999999999999</v>
      </c>
      <c r="D75" s="5">
        <v>31.251999999999999</v>
      </c>
      <c r="E75" s="5">
        <v>32.405000000000001</v>
      </c>
      <c r="F75" s="5">
        <v>1</v>
      </c>
      <c r="G75" s="5" t="s">
        <v>434</v>
      </c>
      <c r="H75" s="5" t="s">
        <v>431</v>
      </c>
      <c r="I75" s="5">
        <v>51</v>
      </c>
      <c r="J75" s="10">
        <f t="shared" si="3"/>
        <v>1</v>
      </c>
      <c r="K75" s="14" t="s">
        <v>501</v>
      </c>
      <c r="L75" s="12">
        <f t="shared" si="2"/>
        <v>0</v>
      </c>
    </row>
    <row r="76" spans="1:12" x14ac:dyDescent="0.3">
      <c r="A76" s="5">
        <v>1</v>
      </c>
      <c r="B76" s="5">
        <v>5</v>
      </c>
      <c r="C76" s="5">
        <v>35.886000000000003</v>
      </c>
      <c r="D76" s="5">
        <v>35.886000000000003</v>
      </c>
      <c r="E76" s="5">
        <v>37.341999999999999</v>
      </c>
      <c r="F76" s="5">
        <v>1</v>
      </c>
      <c r="G76" s="5" t="s">
        <v>431</v>
      </c>
      <c r="H76" s="5" t="s">
        <v>431</v>
      </c>
      <c r="I76" s="5">
        <v>100</v>
      </c>
      <c r="J76" s="10">
        <f t="shared" si="3"/>
        <v>1</v>
      </c>
      <c r="K76" s="14" t="s">
        <v>509</v>
      </c>
      <c r="L76" s="12">
        <f t="shared" si="2"/>
        <v>1</v>
      </c>
    </row>
    <row r="77" spans="1:12" x14ac:dyDescent="0.3">
      <c r="A77" s="5">
        <v>1</v>
      </c>
      <c r="B77" s="5">
        <v>5</v>
      </c>
      <c r="C77" s="5">
        <v>222.35</v>
      </c>
      <c r="D77" s="5">
        <v>222.35</v>
      </c>
      <c r="E77" s="5">
        <v>224.934</v>
      </c>
      <c r="F77" s="5">
        <v>1</v>
      </c>
      <c r="G77" s="5" t="s">
        <v>431</v>
      </c>
      <c r="H77" s="5" t="s">
        <v>431</v>
      </c>
      <c r="I77" s="5">
        <v>80</v>
      </c>
      <c r="J77" s="10">
        <f t="shared" si="3"/>
        <v>1</v>
      </c>
      <c r="K77" s="14" t="s">
        <v>517</v>
      </c>
      <c r="L77" s="12">
        <f t="shared" si="2"/>
        <v>1</v>
      </c>
    </row>
    <row r="78" spans="1:12" x14ac:dyDescent="0.3">
      <c r="A78" s="5">
        <v>1</v>
      </c>
      <c r="B78" s="5">
        <v>5</v>
      </c>
      <c r="C78" s="5">
        <v>21.821000000000002</v>
      </c>
      <c r="D78" s="5">
        <v>24.652000000000001</v>
      </c>
      <c r="E78" s="5">
        <v>26.343</v>
      </c>
      <c r="F78" s="5">
        <v>2</v>
      </c>
      <c r="G78" s="5" t="s">
        <v>431</v>
      </c>
      <c r="H78" s="5" t="s">
        <v>431</v>
      </c>
      <c r="I78" s="5">
        <v>99</v>
      </c>
      <c r="J78" s="10">
        <f t="shared" si="3"/>
        <v>0</v>
      </c>
      <c r="K78" s="14"/>
      <c r="L78" s="12">
        <f t="shared" si="2"/>
        <v>1</v>
      </c>
    </row>
    <row r="79" spans="1:12" x14ac:dyDescent="0.3">
      <c r="A79" s="5">
        <v>1</v>
      </c>
      <c r="B79" s="5">
        <v>5</v>
      </c>
      <c r="C79" s="5">
        <v>20.902999999999999</v>
      </c>
      <c r="D79" s="5">
        <v>20.902999999999999</v>
      </c>
      <c r="E79" s="5">
        <v>33.125</v>
      </c>
      <c r="F79" s="5">
        <v>1</v>
      </c>
      <c r="G79" s="5" t="s">
        <v>431</v>
      </c>
      <c r="H79" s="5" t="s">
        <v>431</v>
      </c>
      <c r="I79" s="5">
        <v>59</v>
      </c>
      <c r="J79" s="10">
        <f t="shared" si="3"/>
        <v>0</v>
      </c>
      <c r="K79" s="14"/>
      <c r="L79" s="12">
        <f t="shared" si="2"/>
        <v>1</v>
      </c>
    </row>
    <row r="80" spans="1:12" x14ac:dyDescent="0.3">
      <c r="A80" s="5">
        <v>1</v>
      </c>
      <c r="B80" s="5">
        <v>5</v>
      </c>
      <c r="C80" s="5">
        <v>78.206999999999994</v>
      </c>
      <c r="D80" s="5">
        <v>78.792000000000002</v>
      </c>
      <c r="E80" s="5">
        <v>82.221000000000004</v>
      </c>
      <c r="F80" s="5">
        <v>2</v>
      </c>
      <c r="G80" s="5" t="s">
        <v>431</v>
      </c>
      <c r="H80" s="5" t="s">
        <v>431</v>
      </c>
      <c r="I80" s="5">
        <v>100</v>
      </c>
      <c r="J80" s="10">
        <f t="shared" si="3"/>
        <v>1</v>
      </c>
      <c r="K80" s="14" t="s">
        <v>1158</v>
      </c>
      <c r="L80" s="12">
        <f t="shared" si="2"/>
        <v>1</v>
      </c>
    </row>
    <row r="81" spans="1:12" x14ac:dyDescent="0.3">
      <c r="A81" s="5">
        <v>1</v>
      </c>
      <c r="B81" s="5">
        <v>5</v>
      </c>
      <c r="C81" s="5">
        <v>154.607</v>
      </c>
      <c r="D81" s="5">
        <v>154.607</v>
      </c>
      <c r="E81" s="5">
        <v>156.86799999999999</v>
      </c>
      <c r="F81" s="5">
        <v>1</v>
      </c>
      <c r="G81" s="5" t="s">
        <v>434</v>
      </c>
      <c r="H81" s="5" t="s">
        <v>431</v>
      </c>
      <c r="I81" s="5">
        <v>83</v>
      </c>
      <c r="J81" s="10">
        <f t="shared" si="3"/>
        <v>0</v>
      </c>
      <c r="K81" s="14"/>
      <c r="L81" s="12">
        <f t="shared" si="2"/>
        <v>0</v>
      </c>
    </row>
    <row r="82" spans="1:12" x14ac:dyDescent="0.3">
      <c r="A82" s="5">
        <v>1</v>
      </c>
      <c r="B82" s="5">
        <v>6</v>
      </c>
      <c r="C82" s="5">
        <v>96.739000000000004</v>
      </c>
      <c r="D82" s="5">
        <v>96.739000000000004</v>
      </c>
      <c r="E82" s="5">
        <v>117.498</v>
      </c>
      <c r="F82" s="5">
        <v>1</v>
      </c>
      <c r="G82" s="5" t="s">
        <v>434</v>
      </c>
      <c r="H82" s="5" t="s">
        <v>431</v>
      </c>
      <c r="I82" s="5">
        <v>70</v>
      </c>
      <c r="J82" s="10">
        <f t="shared" si="3"/>
        <v>1</v>
      </c>
      <c r="K82" s="14" t="s">
        <v>438</v>
      </c>
      <c r="L82" s="12">
        <f t="shared" si="2"/>
        <v>0</v>
      </c>
    </row>
    <row r="83" spans="1:12" x14ac:dyDescent="0.3">
      <c r="A83" s="5">
        <v>1</v>
      </c>
      <c r="B83" s="5">
        <v>6</v>
      </c>
      <c r="C83" s="5">
        <v>5.8369999999999997</v>
      </c>
      <c r="D83" s="5">
        <v>7.5369999999999999</v>
      </c>
      <c r="E83" s="5">
        <v>16.739999999999998</v>
      </c>
      <c r="F83" s="5">
        <v>4</v>
      </c>
      <c r="G83" s="5" t="s">
        <v>431</v>
      </c>
      <c r="H83" s="5" t="s">
        <v>431</v>
      </c>
      <c r="I83" s="5">
        <v>90</v>
      </c>
      <c r="J83" s="10">
        <f t="shared" si="3"/>
        <v>1</v>
      </c>
      <c r="K83" s="14" t="s">
        <v>446</v>
      </c>
      <c r="L83" s="12">
        <f t="shared" si="2"/>
        <v>1</v>
      </c>
    </row>
    <row r="84" spans="1:12" x14ac:dyDescent="0.3">
      <c r="A84" s="5">
        <v>1</v>
      </c>
      <c r="B84" s="5">
        <v>6</v>
      </c>
      <c r="C84" s="5">
        <v>25.088000000000001</v>
      </c>
      <c r="D84" s="5">
        <v>26.190999999999999</v>
      </c>
      <c r="E84" s="5">
        <v>27.306000000000001</v>
      </c>
      <c r="F84" s="5">
        <v>2</v>
      </c>
      <c r="G84" s="5" t="s">
        <v>431</v>
      </c>
      <c r="H84" s="5" t="s">
        <v>431</v>
      </c>
      <c r="I84" s="5">
        <v>61</v>
      </c>
      <c r="J84" s="10">
        <f t="shared" si="3"/>
        <v>0</v>
      </c>
      <c r="K84" s="14"/>
      <c r="L84" s="12">
        <f t="shared" si="2"/>
        <v>1</v>
      </c>
    </row>
    <row r="85" spans="1:12" x14ac:dyDescent="0.3">
      <c r="A85" s="5">
        <v>1</v>
      </c>
      <c r="B85" s="5">
        <v>6</v>
      </c>
      <c r="C85" s="5">
        <v>2.5819999999999999</v>
      </c>
      <c r="D85" s="5">
        <v>52.585999999999999</v>
      </c>
      <c r="E85" s="5">
        <v>56.164000000000001</v>
      </c>
      <c r="F85" s="5">
        <v>10</v>
      </c>
      <c r="G85" s="5" t="s">
        <v>434</v>
      </c>
      <c r="H85" s="5" t="s">
        <v>431</v>
      </c>
      <c r="I85" s="5">
        <v>76</v>
      </c>
      <c r="J85" s="10">
        <f t="shared" si="3"/>
        <v>1</v>
      </c>
      <c r="K85" s="14" t="s">
        <v>454</v>
      </c>
      <c r="L85" s="12">
        <f t="shared" si="2"/>
        <v>0</v>
      </c>
    </row>
    <row r="86" spans="1:12" x14ac:dyDescent="0.3">
      <c r="A86" s="5">
        <v>1</v>
      </c>
      <c r="B86" s="5">
        <v>6</v>
      </c>
      <c r="C86" s="5">
        <v>44.540999999999997</v>
      </c>
      <c r="D86" s="5">
        <v>44.540999999999997</v>
      </c>
      <c r="E86" s="5">
        <v>48.048000000000002</v>
      </c>
      <c r="F86" s="5">
        <v>1</v>
      </c>
      <c r="G86" s="5" t="s">
        <v>434</v>
      </c>
      <c r="H86" s="5" t="s">
        <v>431</v>
      </c>
      <c r="I86" s="5">
        <v>80</v>
      </c>
      <c r="J86" s="10">
        <f t="shared" si="3"/>
        <v>1</v>
      </c>
      <c r="K86" s="14" t="s">
        <v>462</v>
      </c>
      <c r="L86" s="12">
        <f t="shared" si="2"/>
        <v>0</v>
      </c>
    </row>
    <row r="87" spans="1:12" x14ac:dyDescent="0.3">
      <c r="A87" s="5">
        <v>1</v>
      </c>
      <c r="B87" s="5">
        <v>6</v>
      </c>
      <c r="C87" s="5">
        <v>15.582000000000001</v>
      </c>
      <c r="D87" s="5">
        <v>15.582000000000001</v>
      </c>
      <c r="E87" s="5">
        <v>18.600999999999999</v>
      </c>
      <c r="F87" s="5">
        <v>1</v>
      </c>
      <c r="G87" s="5" t="s">
        <v>434</v>
      </c>
      <c r="H87" s="5" t="s">
        <v>431</v>
      </c>
      <c r="I87" s="5">
        <v>82</v>
      </c>
      <c r="J87" s="10">
        <f t="shared" si="3"/>
        <v>1</v>
      </c>
      <c r="K87" s="14" t="s">
        <v>470</v>
      </c>
      <c r="L87" s="12">
        <f t="shared" si="2"/>
        <v>0</v>
      </c>
    </row>
    <row r="88" spans="1:12" x14ac:dyDescent="0.3">
      <c r="A88" s="5">
        <v>1</v>
      </c>
      <c r="B88" s="5">
        <v>6</v>
      </c>
      <c r="C88" s="5">
        <v>82.825999999999993</v>
      </c>
      <c r="D88" s="5">
        <v>82.825999999999993</v>
      </c>
      <c r="E88" s="5">
        <v>86.018000000000001</v>
      </c>
      <c r="F88" s="5">
        <v>1</v>
      </c>
      <c r="G88" s="5" t="s">
        <v>434</v>
      </c>
      <c r="H88" s="5" t="s">
        <v>431</v>
      </c>
      <c r="I88" s="5">
        <v>100</v>
      </c>
      <c r="J88" s="10">
        <f t="shared" si="3"/>
        <v>1</v>
      </c>
      <c r="K88" s="14" t="s">
        <v>478</v>
      </c>
      <c r="L88" s="12">
        <f t="shared" si="2"/>
        <v>0</v>
      </c>
    </row>
    <row r="89" spans="1:12" x14ac:dyDescent="0.3">
      <c r="A89" s="5">
        <v>1</v>
      </c>
      <c r="B89" s="5">
        <v>6</v>
      </c>
      <c r="C89" s="5">
        <v>1.8540000000000001</v>
      </c>
      <c r="D89" s="5">
        <v>68.73</v>
      </c>
      <c r="E89" s="5">
        <v>70.129000000000005</v>
      </c>
      <c r="F89" s="5">
        <v>4</v>
      </c>
      <c r="G89" s="5" t="s">
        <v>431</v>
      </c>
      <c r="H89" s="5" t="s">
        <v>431</v>
      </c>
      <c r="I89" s="5">
        <v>100</v>
      </c>
      <c r="J89" s="10">
        <f t="shared" si="3"/>
        <v>1</v>
      </c>
      <c r="K89" s="14" t="s">
        <v>486</v>
      </c>
      <c r="L89" s="12">
        <f t="shared" si="2"/>
        <v>1</v>
      </c>
    </row>
    <row r="90" spans="1:12" x14ac:dyDescent="0.3">
      <c r="A90" s="5">
        <v>1</v>
      </c>
      <c r="B90" s="5">
        <v>6</v>
      </c>
      <c r="C90" s="5">
        <v>36.225000000000001</v>
      </c>
      <c r="D90" s="5">
        <v>36.225000000000001</v>
      </c>
      <c r="E90" s="5">
        <v>37.115000000000002</v>
      </c>
      <c r="F90" s="5">
        <v>1</v>
      </c>
      <c r="G90" s="5" t="s">
        <v>431</v>
      </c>
      <c r="H90" s="5" t="s">
        <v>431</v>
      </c>
      <c r="I90" s="5">
        <v>78</v>
      </c>
      <c r="J90" s="10">
        <f t="shared" si="3"/>
        <v>1</v>
      </c>
      <c r="K90" s="14" t="s">
        <v>494</v>
      </c>
      <c r="L90" s="12">
        <f t="shared" si="2"/>
        <v>1</v>
      </c>
    </row>
    <row r="91" spans="1:12" x14ac:dyDescent="0.3">
      <c r="A91" s="5">
        <v>1</v>
      </c>
      <c r="B91" s="5">
        <v>6</v>
      </c>
      <c r="C91" s="5">
        <v>12.907</v>
      </c>
      <c r="D91" s="5">
        <v>12.907</v>
      </c>
      <c r="E91" s="5">
        <v>14.269</v>
      </c>
      <c r="F91" s="5">
        <v>1</v>
      </c>
      <c r="G91" s="5" t="s">
        <v>431</v>
      </c>
      <c r="H91" s="5" t="s">
        <v>431</v>
      </c>
      <c r="I91" s="5">
        <v>54</v>
      </c>
      <c r="J91" s="10">
        <f t="shared" si="3"/>
        <v>1</v>
      </c>
      <c r="K91" s="14" t="s">
        <v>502</v>
      </c>
      <c r="L91" s="12">
        <f t="shared" si="2"/>
        <v>1</v>
      </c>
    </row>
    <row r="92" spans="1:12" x14ac:dyDescent="0.3">
      <c r="A92" s="5">
        <v>1</v>
      </c>
      <c r="B92" s="5">
        <v>6</v>
      </c>
      <c r="C92" s="5">
        <v>26.187999999999999</v>
      </c>
      <c r="D92" s="5">
        <v>26.187999999999999</v>
      </c>
      <c r="E92" s="5">
        <v>28.225999999999999</v>
      </c>
      <c r="F92" s="5">
        <v>1</v>
      </c>
      <c r="G92" s="5" t="s">
        <v>431</v>
      </c>
      <c r="H92" s="5" t="s">
        <v>431</v>
      </c>
      <c r="I92" s="5">
        <v>100</v>
      </c>
      <c r="J92" s="10">
        <f t="shared" si="3"/>
        <v>1</v>
      </c>
      <c r="K92" s="14" t="s">
        <v>510</v>
      </c>
      <c r="L92" s="12">
        <f t="shared" si="2"/>
        <v>1</v>
      </c>
    </row>
    <row r="93" spans="1:12" x14ac:dyDescent="0.3">
      <c r="A93" s="5">
        <v>1</v>
      </c>
      <c r="B93" s="5">
        <v>6</v>
      </c>
      <c r="C93" s="5">
        <v>752.35900000000004</v>
      </c>
      <c r="D93" s="5">
        <v>752.35900000000004</v>
      </c>
      <c r="E93" s="5">
        <v>754.71</v>
      </c>
      <c r="F93" s="5">
        <v>1</v>
      </c>
      <c r="G93" s="5" t="s">
        <v>434</v>
      </c>
      <c r="H93" s="5" t="s">
        <v>431</v>
      </c>
      <c r="I93" s="5">
        <v>80</v>
      </c>
      <c r="J93" s="10">
        <f t="shared" si="3"/>
        <v>1</v>
      </c>
      <c r="K93" s="14" t="s">
        <v>518</v>
      </c>
      <c r="L93" s="12">
        <f t="shared" si="2"/>
        <v>0</v>
      </c>
    </row>
    <row r="94" spans="1:12" x14ac:dyDescent="0.3">
      <c r="A94" s="5">
        <v>1</v>
      </c>
      <c r="B94" s="5">
        <v>6</v>
      </c>
      <c r="C94" s="5">
        <v>38.665999999999997</v>
      </c>
      <c r="D94" s="5">
        <v>38.665999999999997</v>
      </c>
      <c r="E94" s="5">
        <v>40.454999999999998</v>
      </c>
      <c r="F94" s="5">
        <v>1</v>
      </c>
      <c r="G94" s="5" t="s">
        <v>434</v>
      </c>
      <c r="H94" s="5" t="s">
        <v>431</v>
      </c>
      <c r="I94" s="5">
        <v>97</v>
      </c>
      <c r="J94" s="10">
        <f t="shared" si="3"/>
        <v>0</v>
      </c>
      <c r="K94" s="14"/>
      <c r="L94" s="12">
        <f t="shared" si="2"/>
        <v>0</v>
      </c>
    </row>
    <row r="95" spans="1:12" x14ac:dyDescent="0.3">
      <c r="A95" s="5">
        <v>1</v>
      </c>
      <c r="B95" s="5">
        <v>6</v>
      </c>
      <c r="C95" s="5">
        <v>16.797000000000001</v>
      </c>
      <c r="D95" s="5">
        <v>16.797000000000001</v>
      </c>
      <c r="E95" s="5">
        <v>19.387</v>
      </c>
      <c r="F95" s="5">
        <v>1</v>
      </c>
      <c r="G95" s="5" t="s">
        <v>431</v>
      </c>
      <c r="H95" s="5" t="s">
        <v>431</v>
      </c>
      <c r="I95" s="5">
        <v>60</v>
      </c>
      <c r="J95" s="10">
        <f t="shared" si="3"/>
        <v>0</v>
      </c>
      <c r="K95" s="14"/>
      <c r="L95" s="12">
        <f t="shared" si="2"/>
        <v>1</v>
      </c>
    </row>
    <row r="96" spans="1:12" x14ac:dyDescent="0.3">
      <c r="A96" s="5">
        <v>1</v>
      </c>
      <c r="B96" s="5">
        <v>6</v>
      </c>
      <c r="C96" s="5">
        <v>63.451000000000001</v>
      </c>
      <c r="D96" s="5">
        <v>63.451000000000001</v>
      </c>
      <c r="E96" s="5">
        <v>65.698999999999998</v>
      </c>
      <c r="F96" s="5">
        <v>1</v>
      </c>
      <c r="G96" s="5" t="s">
        <v>431</v>
      </c>
      <c r="H96" s="5" t="s">
        <v>431</v>
      </c>
      <c r="I96" s="5">
        <v>100</v>
      </c>
      <c r="J96" s="10">
        <f t="shared" si="3"/>
        <v>1</v>
      </c>
      <c r="K96" s="14" t="s">
        <v>1159</v>
      </c>
      <c r="L96" s="12">
        <f t="shared" si="2"/>
        <v>1</v>
      </c>
    </row>
    <row r="97" spans="1:12" x14ac:dyDescent="0.3">
      <c r="A97" s="5">
        <v>1</v>
      </c>
      <c r="B97" s="5">
        <v>6</v>
      </c>
      <c r="C97" s="5">
        <v>521.62099999999998</v>
      </c>
      <c r="D97" s="5">
        <v>521.62099999999998</v>
      </c>
      <c r="E97" s="5">
        <v>524.67399999999998</v>
      </c>
      <c r="F97" s="5">
        <v>1</v>
      </c>
      <c r="G97" s="5" t="s">
        <v>434</v>
      </c>
      <c r="H97" s="5" t="s">
        <v>431</v>
      </c>
      <c r="I97" s="5">
        <v>100</v>
      </c>
      <c r="J97" s="10">
        <f t="shared" si="3"/>
        <v>1</v>
      </c>
      <c r="K97" s="14" t="s">
        <v>1166</v>
      </c>
      <c r="L97" s="12">
        <f t="shared" si="2"/>
        <v>0</v>
      </c>
    </row>
    <row r="98" spans="1:12" x14ac:dyDescent="0.3">
      <c r="A98" s="5">
        <v>1</v>
      </c>
      <c r="B98" s="5">
        <v>7</v>
      </c>
      <c r="C98" s="5">
        <v>215.70400000000001</v>
      </c>
      <c r="D98" s="5">
        <v>215.70400000000001</v>
      </c>
      <c r="E98" s="5">
        <v>239.732</v>
      </c>
      <c r="F98" s="5">
        <v>1</v>
      </c>
      <c r="G98" s="5" t="s">
        <v>431</v>
      </c>
      <c r="H98" s="5" t="s">
        <v>434</v>
      </c>
      <c r="I98" s="5">
        <v>62</v>
      </c>
      <c r="J98" s="10">
        <f t="shared" si="3"/>
        <v>1</v>
      </c>
      <c r="K98" s="14" t="s">
        <v>439</v>
      </c>
      <c r="L98" s="12">
        <f t="shared" si="2"/>
        <v>0</v>
      </c>
    </row>
    <row r="99" spans="1:12" x14ac:dyDescent="0.3">
      <c r="A99" s="5">
        <v>1</v>
      </c>
      <c r="B99" s="5">
        <v>7</v>
      </c>
      <c r="C99" s="5">
        <v>0.50600000000000001</v>
      </c>
      <c r="D99" s="5">
        <v>31.527000000000001</v>
      </c>
      <c r="E99" s="5">
        <v>36.942999999999998</v>
      </c>
      <c r="F99" s="5">
        <v>3</v>
      </c>
      <c r="G99" s="5" t="s">
        <v>431</v>
      </c>
      <c r="H99" s="5" t="s">
        <v>434</v>
      </c>
      <c r="I99" s="5">
        <v>90</v>
      </c>
      <c r="J99" s="10">
        <f t="shared" si="3"/>
        <v>1</v>
      </c>
      <c r="K99" s="14" t="s">
        <v>447</v>
      </c>
      <c r="L99" s="12">
        <f t="shared" si="2"/>
        <v>0</v>
      </c>
    </row>
    <row r="100" spans="1:12" x14ac:dyDescent="0.3">
      <c r="A100" s="5">
        <v>1</v>
      </c>
      <c r="B100" s="5">
        <v>7</v>
      </c>
      <c r="C100" s="5">
        <v>22.783999999999999</v>
      </c>
      <c r="D100" s="5">
        <v>22.783999999999999</v>
      </c>
      <c r="E100" s="5">
        <v>23.521999999999998</v>
      </c>
      <c r="F100" s="5">
        <v>1</v>
      </c>
      <c r="G100" s="5" t="s">
        <v>434</v>
      </c>
      <c r="H100" s="5" t="s">
        <v>434</v>
      </c>
      <c r="I100" s="5">
        <v>70</v>
      </c>
      <c r="J100" s="10">
        <f t="shared" si="3"/>
        <v>0</v>
      </c>
      <c r="K100" s="14"/>
      <c r="L100" s="12">
        <f t="shared" si="2"/>
        <v>1</v>
      </c>
    </row>
    <row r="101" spans="1:12" x14ac:dyDescent="0.3">
      <c r="A101" s="5">
        <v>1</v>
      </c>
      <c r="B101" s="5">
        <v>7</v>
      </c>
      <c r="C101" s="5">
        <v>2.9769999999999999</v>
      </c>
      <c r="D101" s="5">
        <v>75.17</v>
      </c>
      <c r="E101" s="5">
        <v>76.245000000000005</v>
      </c>
      <c r="F101" s="5">
        <v>16</v>
      </c>
      <c r="G101" s="5" t="s">
        <v>434</v>
      </c>
      <c r="H101" s="5" t="s">
        <v>434</v>
      </c>
      <c r="I101" s="5">
        <v>86</v>
      </c>
      <c r="J101" s="10">
        <f t="shared" si="3"/>
        <v>1</v>
      </c>
      <c r="K101" s="14" t="s">
        <v>455</v>
      </c>
      <c r="L101" s="12">
        <f t="shared" si="2"/>
        <v>1</v>
      </c>
    </row>
    <row r="102" spans="1:12" x14ac:dyDescent="0.3">
      <c r="A102" s="5">
        <v>1</v>
      </c>
      <c r="B102" s="5">
        <v>7</v>
      </c>
      <c r="C102" s="5">
        <v>55.634</v>
      </c>
      <c r="D102" s="5">
        <v>55.634</v>
      </c>
      <c r="E102" s="5">
        <v>58.000999999999998</v>
      </c>
      <c r="F102" s="5">
        <v>1</v>
      </c>
      <c r="G102" s="5" t="s">
        <v>431</v>
      </c>
      <c r="H102" s="5" t="s">
        <v>434</v>
      </c>
      <c r="I102" s="5">
        <v>80</v>
      </c>
      <c r="J102" s="10">
        <f t="shared" si="3"/>
        <v>1</v>
      </c>
      <c r="K102" s="14" t="s">
        <v>463</v>
      </c>
      <c r="L102" s="12">
        <f t="shared" si="2"/>
        <v>0</v>
      </c>
    </row>
    <row r="103" spans="1:12" x14ac:dyDescent="0.3">
      <c r="A103" s="5">
        <v>1</v>
      </c>
      <c r="B103" s="5">
        <v>7</v>
      </c>
      <c r="C103" s="5">
        <v>25.300999999999998</v>
      </c>
      <c r="D103" s="5">
        <v>25.300999999999998</v>
      </c>
      <c r="E103" s="5">
        <v>26.529</v>
      </c>
      <c r="F103" s="5">
        <v>1</v>
      </c>
      <c r="G103" s="5" t="s">
        <v>434</v>
      </c>
      <c r="H103" s="5" t="s">
        <v>434</v>
      </c>
      <c r="I103" s="5">
        <v>52</v>
      </c>
      <c r="J103" s="10">
        <f t="shared" si="3"/>
        <v>1</v>
      </c>
      <c r="K103" s="14" t="s">
        <v>471</v>
      </c>
      <c r="L103" s="12">
        <f t="shared" si="2"/>
        <v>1</v>
      </c>
    </row>
    <row r="104" spans="1:12" x14ac:dyDescent="0.3">
      <c r="A104" s="5">
        <v>1</v>
      </c>
      <c r="B104" s="5">
        <v>7</v>
      </c>
      <c r="C104" s="5">
        <v>35.999000000000002</v>
      </c>
      <c r="D104" s="5">
        <v>35.999000000000002</v>
      </c>
      <c r="E104" s="5">
        <v>38.448999999999998</v>
      </c>
      <c r="F104" s="5">
        <v>1</v>
      </c>
      <c r="G104" s="5" t="s">
        <v>434</v>
      </c>
      <c r="H104" s="5" t="s">
        <v>434</v>
      </c>
      <c r="I104" s="5">
        <v>98</v>
      </c>
      <c r="J104" s="10">
        <f t="shared" si="3"/>
        <v>1</v>
      </c>
      <c r="K104" s="14" t="s">
        <v>479</v>
      </c>
      <c r="L104" s="12">
        <f t="shared" si="2"/>
        <v>1</v>
      </c>
    </row>
    <row r="105" spans="1:12" x14ac:dyDescent="0.3">
      <c r="A105" s="5">
        <v>1</v>
      </c>
      <c r="B105" s="5">
        <v>7</v>
      </c>
      <c r="C105" s="5">
        <v>1.7529999999999999</v>
      </c>
      <c r="D105" s="5">
        <v>64.188999999999993</v>
      </c>
      <c r="E105" s="5">
        <v>64.953999999999994</v>
      </c>
      <c r="F105" s="5">
        <v>7</v>
      </c>
      <c r="G105" s="5" t="s">
        <v>434</v>
      </c>
      <c r="H105" s="5" t="s">
        <v>434</v>
      </c>
      <c r="I105" s="5">
        <v>100</v>
      </c>
      <c r="J105" s="10">
        <f t="shared" si="3"/>
        <v>1</v>
      </c>
      <c r="K105" s="14" t="s">
        <v>487</v>
      </c>
      <c r="L105" s="12">
        <f t="shared" si="2"/>
        <v>1</v>
      </c>
    </row>
    <row r="106" spans="1:12" x14ac:dyDescent="0.3">
      <c r="A106" s="5">
        <v>1</v>
      </c>
      <c r="B106" s="5">
        <v>7</v>
      </c>
      <c r="C106" s="5">
        <v>71.116</v>
      </c>
      <c r="D106" s="5">
        <v>71.116</v>
      </c>
      <c r="E106" s="5">
        <v>80.744</v>
      </c>
      <c r="F106" s="5">
        <v>1</v>
      </c>
      <c r="G106" s="5" t="s">
        <v>434</v>
      </c>
      <c r="H106" s="5" t="s">
        <v>434</v>
      </c>
      <c r="I106" s="5">
        <v>81</v>
      </c>
      <c r="J106" s="10">
        <f t="shared" si="3"/>
        <v>1</v>
      </c>
      <c r="K106" s="14" t="s">
        <v>495</v>
      </c>
      <c r="L106" s="12">
        <f t="shared" si="2"/>
        <v>1</v>
      </c>
    </row>
    <row r="107" spans="1:12" x14ac:dyDescent="0.3">
      <c r="A107" s="5">
        <v>1</v>
      </c>
      <c r="B107" s="5">
        <v>7</v>
      </c>
      <c r="C107" s="5">
        <v>0.86899999999999999</v>
      </c>
      <c r="D107" s="5">
        <v>9.7520000000000007</v>
      </c>
      <c r="E107" s="5">
        <v>13.68</v>
      </c>
      <c r="F107" s="5">
        <v>2</v>
      </c>
      <c r="G107" s="5" t="s">
        <v>434</v>
      </c>
      <c r="H107" s="5" t="s">
        <v>434</v>
      </c>
      <c r="I107" s="5">
        <v>45</v>
      </c>
      <c r="J107" s="10">
        <f t="shared" si="3"/>
        <v>1</v>
      </c>
      <c r="K107" s="14" t="s">
        <v>503</v>
      </c>
      <c r="L107" s="12">
        <f t="shared" si="2"/>
        <v>1</v>
      </c>
    </row>
    <row r="108" spans="1:12" x14ac:dyDescent="0.3">
      <c r="A108" s="5">
        <v>1</v>
      </c>
      <c r="B108" s="5">
        <v>7</v>
      </c>
      <c r="C108" s="5">
        <v>29.06</v>
      </c>
      <c r="D108" s="5">
        <v>29.06</v>
      </c>
      <c r="E108" s="5">
        <v>30.481999999999999</v>
      </c>
      <c r="F108" s="5">
        <v>1</v>
      </c>
      <c r="G108" s="5" t="s">
        <v>434</v>
      </c>
      <c r="H108" s="5" t="s">
        <v>434</v>
      </c>
      <c r="I108" s="5">
        <v>100</v>
      </c>
      <c r="J108" s="10">
        <f t="shared" si="3"/>
        <v>1</v>
      </c>
      <c r="K108" s="14" t="s">
        <v>511</v>
      </c>
      <c r="L108" s="12">
        <f t="shared" si="2"/>
        <v>1</v>
      </c>
    </row>
    <row r="109" spans="1:12" x14ac:dyDescent="0.3">
      <c r="A109" s="5">
        <v>1</v>
      </c>
      <c r="B109" s="5">
        <v>7</v>
      </c>
      <c r="C109" s="5">
        <v>25.678000000000001</v>
      </c>
      <c r="D109" s="5">
        <v>25.678000000000001</v>
      </c>
      <c r="E109" s="5">
        <v>36.341000000000001</v>
      </c>
      <c r="F109" s="5">
        <v>1</v>
      </c>
      <c r="G109" s="5" t="s">
        <v>434</v>
      </c>
      <c r="H109" s="5" t="s">
        <v>434</v>
      </c>
      <c r="I109" s="5">
        <v>80</v>
      </c>
      <c r="J109" s="10">
        <f t="shared" si="3"/>
        <v>1</v>
      </c>
      <c r="K109" s="14" t="s">
        <v>519</v>
      </c>
      <c r="L109" s="12">
        <f t="shared" si="2"/>
        <v>1</v>
      </c>
    </row>
    <row r="110" spans="1:12" x14ac:dyDescent="0.3">
      <c r="A110" s="5">
        <v>1</v>
      </c>
      <c r="B110" s="5">
        <v>7</v>
      </c>
      <c r="C110" s="5">
        <v>16.887</v>
      </c>
      <c r="D110" s="5">
        <v>16.887</v>
      </c>
      <c r="E110" s="5">
        <v>19.36</v>
      </c>
      <c r="F110" s="5">
        <v>1</v>
      </c>
      <c r="G110" s="5" t="s">
        <v>434</v>
      </c>
      <c r="H110" s="5" t="s">
        <v>434</v>
      </c>
      <c r="I110" s="5">
        <v>83</v>
      </c>
      <c r="J110" s="10">
        <f t="shared" si="3"/>
        <v>0</v>
      </c>
      <c r="K110" s="14"/>
      <c r="L110" s="12">
        <f t="shared" si="2"/>
        <v>1</v>
      </c>
    </row>
    <row r="111" spans="1:12" x14ac:dyDescent="0.3">
      <c r="A111" s="5">
        <v>1</v>
      </c>
      <c r="B111" s="5">
        <v>7</v>
      </c>
      <c r="C111" s="5">
        <v>23.391999999999999</v>
      </c>
      <c r="D111" s="5">
        <v>23.391999999999999</v>
      </c>
      <c r="E111" s="5">
        <v>26.414999999999999</v>
      </c>
      <c r="F111" s="5">
        <v>1</v>
      </c>
      <c r="G111" s="5" t="s">
        <v>434</v>
      </c>
      <c r="H111" s="5" t="s">
        <v>434</v>
      </c>
      <c r="I111" s="5">
        <v>60</v>
      </c>
      <c r="J111" s="10">
        <f t="shared" si="3"/>
        <v>0</v>
      </c>
      <c r="K111" s="14"/>
      <c r="L111" s="12">
        <f t="shared" si="2"/>
        <v>1</v>
      </c>
    </row>
    <row r="112" spans="1:12" x14ac:dyDescent="0.3">
      <c r="A112" s="5">
        <v>1</v>
      </c>
      <c r="B112" s="5">
        <v>7</v>
      </c>
      <c r="C112" s="5">
        <v>107.45099999999999</v>
      </c>
      <c r="D112" s="5">
        <v>107.45099999999999</v>
      </c>
      <c r="E112" s="5">
        <v>109.643</v>
      </c>
      <c r="F112" s="5">
        <v>1</v>
      </c>
      <c r="G112" s="5" t="s">
        <v>431</v>
      </c>
      <c r="H112" s="5" t="s">
        <v>434</v>
      </c>
      <c r="I112" s="5">
        <v>50</v>
      </c>
      <c r="J112" s="10">
        <f t="shared" si="3"/>
        <v>1</v>
      </c>
      <c r="K112" s="14" t="s">
        <v>1160</v>
      </c>
      <c r="L112" s="12">
        <f t="shared" si="2"/>
        <v>0</v>
      </c>
    </row>
    <row r="113" spans="1:12" x14ac:dyDescent="0.3">
      <c r="A113" s="5">
        <v>1</v>
      </c>
      <c r="B113" s="5">
        <v>7</v>
      </c>
      <c r="C113" s="5">
        <v>251.93700000000001</v>
      </c>
      <c r="D113" s="5">
        <v>251.93700000000001</v>
      </c>
      <c r="E113" s="5">
        <v>253.78700000000001</v>
      </c>
      <c r="F113" s="5">
        <v>1</v>
      </c>
      <c r="G113" s="5" t="s">
        <v>434</v>
      </c>
      <c r="H113" s="5" t="s">
        <v>434</v>
      </c>
      <c r="I113" s="5">
        <v>50</v>
      </c>
      <c r="J113" s="10">
        <f t="shared" si="3"/>
        <v>0</v>
      </c>
      <c r="K113" s="14"/>
      <c r="L113" s="12">
        <f t="shared" si="2"/>
        <v>1</v>
      </c>
    </row>
    <row r="114" spans="1:12" x14ac:dyDescent="0.3">
      <c r="A114" s="5">
        <v>1</v>
      </c>
      <c r="B114" s="5">
        <v>8</v>
      </c>
      <c r="C114" s="5">
        <v>84.840999999999994</v>
      </c>
      <c r="D114" s="5">
        <v>84.840999999999994</v>
      </c>
      <c r="E114" s="5">
        <v>93.046000000000006</v>
      </c>
      <c r="F114" s="5">
        <v>1</v>
      </c>
      <c r="G114" s="5" t="s">
        <v>434</v>
      </c>
      <c r="H114" s="5" t="s">
        <v>434</v>
      </c>
      <c r="I114" s="5">
        <v>60</v>
      </c>
      <c r="J114" s="10">
        <f t="shared" si="3"/>
        <v>1</v>
      </c>
      <c r="K114" s="14" t="s">
        <v>440</v>
      </c>
      <c r="L114" s="12">
        <f t="shared" si="2"/>
        <v>1</v>
      </c>
    </row>
    <row r="115" spans="1:12" x14ac:dyDescent="0.3">
      <c r="A115" s="5">
        <v>1</v>
      </c>
      <c r="B115" s="5">
        <v>8</v>
      </c>
      <c r="C115" s="5">
        <v>0.51200000000000001</v>
      </c>
      <c r="D115" s="5">
        <v>19.195</v>
      </c>
      <c r="E115" s="5">
        <v>19.100999999999999</v>
      </c>
      <c r="F115" s="5">
        <v>8</v>
      </c>
      <c r="G115" s="5" t="s">
        <v>434</v>
      </c>
      <c r="H115" s="5" t="s">
        <v>434</v>
      </c>
      <c r="I115" s="5">
        <v>90</v>
      </c>
      <c r="J115" s="10">
        <f t="shared" si="3"/>
        <v>1</v>
      </c>
      <c r="K115" s="14" t="s">
        <v>448</v>
      </c>
      <c r="L115" s="12">
        <f t="shared" si="2"/>
        <v>1</v>
      </c>
    </row>
    <row r="116" spans="1:12" x14ac:dyDescent="0.3">
      <c r="A116" s="5">
        <v>1</v>
      </c>
      <c r="B116" s="5">
        <v>8</v>
      </c>
      <c r="C116" s="5">
        <v>8.9580000000000002</v>
      </c>
      <c r="D116" s="5">
        <v>299.24900000000002</v>
      </c>
      <c r="E116" s="5">
        <v>302.267</v>
      </c>
      <c r="F116" s="5">
        <v>3</v>
      </c>
      <c r="G116" s="5" t="s">
        <v>434</v>
      </c>
      <c r="H116" s="5" t="s">
        <v>434</v>
      </c>
      <c r="I116" s="5">
        <v>69</v>
      </c>
      <c r="J116" s="10">
        <f t="shared" si="3"/>
        <v>0</v>
      </c>
      <c r="K116" s="14"/>
      <c r="L116" s="12">
        <f t="shared" si="2"/>
        <v>1</v>
      </c>
    </row>
    <row r="117" spans="1:12" x14ac:dyDescent="0.3">
      <c r="A117" s="5">
        <v>1</v>
      </c>
      <c r="B117" s="5">
        <v>8</v>
      </c>
      <c r="C117" s="5">
        <v>33.671999999999997</v>
      </c>
      <c r="D117" s="5">
        <v>45.966000000000001</v>
      </c>
      <c r="E117" s="5">
        <v>46.936999999999998</v>
      </c>
      <c r="F117" s="5">
        <v>7</v>
      </c>
      <c r="G117" s="5" t="s">
        <v>431</v>
      </c>
      <c r="H117" s="5" t="s">
        <v>434</v>
      </c>
      <c r="I117" s="5">
        <v>97</v>
      </c>
      <c r="J117" s="10">
        <f t="shared" si="3"/>
        <v>1</v>
      </c>
      <c r="K117" s="14" t="s">
        <v>456</v>
      </c>
      <c r="L117" s="12">
        <f t="shared" si="2"/>
        <v>0</v>
      </c>
    </row>
    <row r="118" spans="1:12" x14ac:dyDescent="0.3">
      <c r="A118" s="5">
        <v>1</v>
      </c>
      <c r="B118" s="5">
        <v>8</v>
      </c>
      <c r="C118" s="5">
        <v>56</v>
      </c>
      <c r="D118" s="5">
        <v>56</v>
      </c>
      <c r="E118" s="5">
        <v>58.103000000000002</v>
      </c>
      <c r="F118" s="5">
        <v>1</v>
      </c>
      <c r="G118" s="5" t="s">
        <v>434</v>
      </c>
      <c r="H118" s="5" t="s">
        <v>434</v>
      </c>
      <c r="I118" s="5">
        <v>50</v>
      </c>
      <c r="J118" s="10">
        <f t="shared" si="3"/>
        <v>1</v>
      </c>
      <c r="K118" s="14" t="s">
        <v>464</v>
      </c>
      <c r="L118" s="12">
        <f t="shared" si="2"/>
        <v>1</v>
      </c>
    </row>
    <row r="119" spans="1:12" x14ac:dyDescent="0.3">
      <c r="A119" s="5">
        <v>1</v>
      </c>
      <c r="B119" s="5">
        <v>8</v>
      </c>
      <c r="C119" s="5">
        <v>26.489000000000001</v>
      </c>
      <c r="D119" s="5">
        <v>26.489000000000001</v>
      </c>
      <c r="E119" s="5">
        <v>43.808</v>
      </c>
      <c r="F119" s="5">
        <v>1</v>
      </c>
      <c r="G119" s="5" t="s">
        <v>434</v>
      </c>
      <c r="H119" s="5" t="s">
        <v>434</v>
      </c>
      <c r="I119" s="5">
        <v>97</v>
      </c>
      <c r="J119" s="10">
        <f t="shared" si="3"/>
        <v>1</v>
      </c>
      <c r="K119" s="14" t="s">
        <v>472</v>
      </c>
      <c r="L119" s="12">
        <f t="shared" si="2"/>
        <v>1</v>
      </c>
    </row>
    <row r="120" spans="1:12" x14ac:dyDescent="0.3">
      <c r="A120" s="5">
        <v>1</v>
      </c>
      <c r="B120" s="5">
        <v>8</v>
      </c>
      <c r="C120" s="5">
        <v>70.820999999999998</v>
      </c>
      <c r="D120" s="5">
        <v>70.820999999999998</v>
      </c>
      <c r="E120" s="5">
        <v>72.796999999999997</v>
      </c>
      <c r="F120" s="5">
        <v>1</v>
      </c>
      <c r="G120" s="5" t="s">
        <v>434</v>
      </c>
      <c r="H120" s="5" t="s">
        <v>434</v>
      </c>
      <c r="I120" s="5">
        <v>100</v>
      </c>
      <c r="J120" s="10">
        <f t="shared" si="3"/>
        <v>1</v>
      </c>
      <c r="K120" s="14" t="s">
        <v>480</v>
      </c>
      <c r="L120" s="12">
        <f t="shared" si="2"/>
        <v>1</v>
      </c>
    </row>
    <row r="121" spans="1:12" x14ac:dyDescent="0.3">
      <c r="A121" s="5">
        <v>1</v>
      </c>
      <c r="B121" s="5">
        <v>8</v>
      </c>
      <c r="C121" s="5">
        <v>1.917</v>
      </c>
      <c r="D121" s="5">
        <v>43.908999999999999</v>
      </c>
      <c r="E121" s="5">
        <v>45.161999999999999</v>
      </c>
      <c r="F121" s="5">
        <v>7</v>
      </c>
      <c r="G121" s="5" t="s">
        <v>434</v>
      </c>
      <c r="H121" s="5" t="s">
        <v>434</v>
      </c>
      <c r="I121" s="5">
        <v>52</v>
      </c>
      <c r="J121" s="10">
        <f t="shared" si="3"/>
        <v>1</v>
      </c>
      <c r="K121" s="14" t="s">
        <v>488</v>
      </c>
      <c r="L121" s="12">
        <f t="shared" si="2"/>
        <v>1</v>
      </c>
    </row>
    <row r="122" spans="1:12" x14ac:dyDescent="0.3">
      <c r="A122" s="5">
        <v>1</v>
      </c>
      <c r="B122" s="5">
        <v>8</v>
      </c>
      <c r="C122" s="5">
        <v>29.738</v>
      </c>
      <c r="D122" s="5">
        <v>29.738</v>
      </c>
      <c r="E122" s="5">
        <v>31.036000000000001</v>
      </c>
      <c r="F122" s="5">
        <v>1</v>
      </c>
      <c r="G122" s="5" t="s">
        <v>431</v>
      </c>
      <c r="H122" s="5" t="s">
        <v>434</v>
      </c>
      <c r="I122" s="5">
        <v>71</v>
      </c>
      <c r="J122" s="10">
        <f t="shared" si="3"/>
        <v>1</v>
      </c>
      <c r="K122" s="14" t="s">
        <v>496</v>
      </c>
      <c r="L122" s="12">
        <f t="shared" si="2"/>
        <v>0</v>
      </c>
    </row>
    <row r="123" spans="1:12" x14ac:dyDescent="0.3">
      <c r="A123" s="5">
        <v>1</v>
      </c>
      <c r="B123" s="5">
        <v>8</v>
      </c>
      <c r="C123" s="5">
        <v>60.445999999999998</v>
      </c>
      <c r="D123" s="5">
        <v>60.445999999999998</v>
      </c>
      <c r="E123" s="5">
        <v>66.757999999999996</v>
      </c>
      <c r="F123" s="5">
        <v>1</v>
      </c>
      <c r="G123" s="5" t="s">
        <v>434</v>
      </c>
      <c r="H123" s="5" t="s">
        <v>434</v>
      </c>
      <c r="I123" s="5">
        <v>51</v>
      </c>
      <c r="J123" s="10">
        <f t="shared" si="3"/>
        <v>1</v>
      </c>
      <c r="K123" s="14" t="s">
        <v>504</v>
      </c>
      <c r="L123" s="12">
        <f t="shared" si="2"/>
        <v>1</v>
      </c>
    </row>
    <row r="124" spans="1:12" x14ac:dyDescent="0.3">
      <c r="A124" s="5">
        <v>1</v>
      </c>
      <c r="B124" s="5">
        <v>8</v>
      </c>
      <c r="C124" s="5">
        <v>36.581000000000003</v>
      </c>
      <c r="D124" s="5">
        <v>36.581000000000003</v>
      </c>
      <c r="E124" s="5">
        <v>38.223999999999997</v>
      </c>
      <c r="F124" s="5">
        <v>1</v>
      </c>
      <c r="G124" s="5" t="s">
        <v>431</v>
      </c>
      <c r="H124" s="5" t="s">
        <v>434</v>
      </c>
      <c r="I124" s="5">
        <v>100</v>
      </c>
      <c r="J124" s="10">
        <f t="shared" si="3"/>
        <v>1</v>
      </c>
      <c r="K124" s="14" t="s">
        <v>512</v>
      </c>
      <c r="L124" s="12">
        <f t="shared" si="2"/>
        <v>0</v>
      </c>
    </row>
    <row r="125" spans="1:12" x14ac:dyDescent="0.3">
      <c r="A125" s="5">
        <v>1</v>
      </c>
      <c r="B125" s="5">
        <v>8</v>
      </c>
      <c r="C125" s="5">
        <v>16.617999999999999</v>
      </c>
      <c r="D125" s="5">
        <v>16.617999999999999</v>
      </c>
      <c r="E125" s="5">
        <v>18.54</v>
      </c>
      <c r="F125" s="5">
        <v>1</v>
      </c>
      <c r="G125" s="5" t="s">
        <v>434</v>
      </c>
      <c r="H125" s="5" t="s">
        <v>434</v>
      </c>
      <c r="I125" s="5">
        <v>80</v>
      </c>
      <c r="J125" s="10">
        <f t="shared" si="3"/>
        <v>1</v>
      </c>
      <c r="K125" s="14" t="s">
        <v>520</v>
      </c>
      <c r="L125" s="12">
        <f t="shared" si="2"/>
        <v>1</v>
      </c>
    </row>
    <row r="126" spans="1:12" x14ac:dyDescent="0.3">
      <c r="A126" s="5">
        <v>1</v>
      </c>
      <c r="B126" s="5">
        <v>8</v>
      </c>
      <c r="C126" s="5">
        <v>23.263000000000002</v>
      </c>
      <c r="D126" s="5">
        <v>23.263000000000002</v>
      </c>
      <c r="E126" s="5">
        <v>25.402999999999999</v>
      </c>
      <c r="F126" s="5">
        <v>1</v>
      </c>
      <c r="G126" s="5" t="s">
        <v>434</v>
      </c>
      <c r="H126" s="5" t="s">
        <v>434</v>
      </c>
      <c r="I126" s="5">
        <v>88</v>
      </c>
      <c r="J126" s="10">
        <f t="shared" si="3"/>
        <v>0</v>
      </c>
      <c r="K126" s="14"/>
      <c r="L126" s="12">
        <f t="shared" si="2"/>
        <v>1</v>
      </c>
    </row>
    <row r="127" spans="1:12" x14ac:dyDescent="0.3">
      <c r="A127" s="5">
        <v>1</v>
      </c>
      <c r="B127" s="5">
        <v>8</v>
      </c>
      <c r="C127" s="5">
        <v>22.181000000000001</v>
      </c>
      <c r="D127" s="5">
        <v>22.181000000000001</v>
      </c>
      <c r="E127" s="5">
        <v>26.911999999999999</v>
      </c>
      <c r="F127" s="5">
        <v>1</v>
      </c>
      <c r="G127" s="5" t="s">
        <v>431</v>
      </c>
      <c r="H127" s="5" t="s">
        <v>434</v>
      </c>
      <c r="I127" s="5">
        <v>73</v>
      </c>
      <c r="J127" s="10">
        <f t="shared" si="3"/>
        <v>0</v>
      </c>
      <c r="K127" s="14"/>
      <c r="L127" s="12">
        <f t="shared" si="2"/>
        <v>0</v>
      </c>
    </row>
    <row r="128" spans="1:12" x14ac:dyDescent="0.3">
      <c r="A128" s="5">
        <v>1</v>
      </c>
      <c r="B128" s="5">
        <v>8</v>
      </c>
      <c r="C128" s="5">
        <v>44.276000000000003</v>
      </c>
      <c r="D128" s="5">
        <v>47.593000000000004</v>
      </c>
      <c r="E128" s="5">
        <v>55.22</v>
      </c>
      <c r="F128" s="5">
        <v>2</v>
      </c>
      <c r="G128" s="5" t="s">
        <v>434</v>
      </c>
      <c r="H128" s="5" t="s">
        <v>434</v>
      </c>
      <c r="I128" s="5">
        <v>50</v>
      </c>
      <c r="J128" s="10">
        <f t="shared" si="3"/>
        <v>1</v>
      </c>
      <c r="K128" s="14" t="s">
        <v>1161</v>
      </c>
      <c r="L128" s="12">
        <f t="shared" si="2"/>
        <v>1</v>
      </c>
    </row>
    <row r="129" spans="1:12" x14ac:dyDescent="0.3">
      <c r="A129" s="5">
        <v>1</v>
      </c>
      <c r="B129" s="5">
        <v>8</v>
      </c>
      <c r="C129" s="5">
        <v>95.688999999999993</v>
      </c>
      <c r="D129" s="5">
        <v>95.688999999999993</v>
      </c>
      <c r="E129" s="5">
        <v>97.210999999999999</v>
      </c>
      <c r="F129" s="5">
        <v>1</v>
      </c>
      <c r="G129" s="5" t="s">
        <v>434</v>
      </c>
      <c r="H129" s="5" t="s">
        <v>434</v>
      </c>
      <c r="I129" s="5">
        <v>100</v>
      </c>
      <c r="J129" s="10">
        <f t="shared" si="3"/>
        <v>1</v>
      </c>
      <c r="K129" s="14" t="s">
        <v>1167</v>
      </c>
      <c r="L129" s="12">
        <f t="shared" si="2"/>
        <v>1</v>
      </c>
    </row>
    <row r="130" spans="1:12" x14ac:dyDescent="0.3">
      <c r="A130" s="5">
        <v>2</v>
      </c>
      <c r="B130" s="5">
        <v>1</v>
      </c>
      <c r="C130" s="5">
        <v>16.45</v>
      </c>
      <c r="D130" s="5">
        <v>16.45</v>
      </c>
      <c r="E130" s="5">
        <v>17.516999999999999</v>
      </c>
      <c r="F130" s="5">
        <v>1</v>
      </c>
      <c r="G130" s="5" t="s">
        <v>431</v>
      </c>
      <c r="H130" s="5" t="s">
        <v>431</v>
      </c>
      <c r="I130" s="5">
        <v>90</v>
      </c>
      <c r="J130" s="10">
        <f t="shared" si="3"/>
        <v>1</v>
      </c>
      <c r="K130" s="14" t="s">
        <v>639</v>
      </c>
      <c r="L130" s="12">
        <f t="shared" ref="L130:L198" si="4">IF(G130=H130, 1, 0)</f>
        <v>1</v>
      </c>
    </row>
    <row r="131" spans="1:12" x14ac:dyDescent="0.3">
      <c r="A131" s="5">
        <v>2</v>
      </c>
      <c r="B131" s="5">
        <v>1</v>
      </c>
      <c r="C131" s="5">
        <v>12.929</v>
      </c>
      <c r="D131" s="5">
        <v>41.317999999999998</v>
      </c>
      <c r="E131" s="5">
        <v>42.052</v>
      </c>
      <c r="F131" s="5">
        <v>9</v>
      </c>
      <c r="G131" s="5" t="s">
        <v>434</v>
      </c>
      <c r="H131" s="5" t="s">
        <v>431</v>
      </c>
      <c r="I131" s="5">
        <v>70</v>
      </c>
      <c r="J131" s="10">
        <f t="shared" ref="J131:J199" si="5">IF(ISBLANK(K131), 0, 1)</f>
        <v>1</v>
      </c>
      <c r="K131" s="14" t="s">
        <v>647</v>
      </c>
      <c r="L131" s="12">
        <f t="shared" si="4"/>
        <v>0</v>
      </c>
    </row>
    <row r="132" spans="1:12" x14ac:dyDescent="0.3">
      <c r="A132" s="5">
        <v>2</v>
      </c>
      <c r="B132" s="5">
        <v>1</v>
      </c>
      <c r="C132" s="5">
        <v>2.258</v>
      </c>
      <c r="D132" s="5">
        <v>20.93</v>
      </c>
      <c r="E132" s="5">
        <v>23.074999999999999</v>
      </c>
      <c r="F132" s="5">
        <v>5</v>
      </c>
      <c r="G132" s="5" t="s">
        <v>431</v>
      </c>
      <c r="H132" s="5" t="s">
        <v>431</v>
      </c>
      <c r="I132" s="5">
        <v>40</v>
      </c>
      <c r="J132" s="10">
        <f t="shared" si="5"/>
        <v>1</v>
      </c>
      <c r="K132" s="14" t="s">
        <v>650</v>
      </c>
      <c r="L132" s="12">
        <f t="shared" si="4"/>
        <v>1</v>
      </c>
    </row>
    <row r="133" spans="1:12" x14ac:dyDescent="0.3">
      <c r="A133" s="5">
        <v>2</v>
      </c>
      <c r="B133" s="5">
        <v>1</v>
      </c>
      <c r="C133" s="5">
        <v>27.616</v>
      </c>
      <c r="D133" s="5">
        <v>27.616</v>
      </c>
      <c r="E133" s="5">
        <v>28.818000000000001</v>
      </c>
      <c r="F133" s="5">
        <v>1</v>
      </c>
      <c r="G133" s="5" t="s">
        <v>434</v>
      </c>
      <c r="H133" s="5" t="s">
        <v>431</v>
      </c>
      <c r="I133" s="5">
        <v>61</v>
      </c>
      <c r="J133" s="10">
        <f t="shared" si="5"/>
        <v>1</v>
      </c>
      <c r="K133" s="14" t="s">
        <v>658</v>
      </c>
      <c r="L133" s="12">
        <f t="shared" si="4"/>
        <v>0</v>
      </c>
    </row>
    <row r="134" spans="1:12" x14ac:dyDescent="0.3">
      <c r="A134" s="5">
        <v>2</v>
      </c>
      <c r="B134" s="5">
        <v>1</v>
      </c>
      <c r="C134" s="5">
        <v>52.875999999999998</v>
      </c>
      <c r="D134" s="5">
        <v>52.875999999999998</v>
      </c>
      <c r="E134" s="5">
        <v>54.353999999999999</v>
      </c>
      <c r="F134" s="5">
        <v>1</v>
      </c>
      <c r="G134" s="5" t="s">
        <v>434</v>
      </c>
      <c r="H134" s="5" t="s">
        <v>431</v>
      </c>
      <c r="I134" s="5">
        <v>80</v>
      </c>
      <c r="J134" s="10">
        <f t="shared" si="5"/>
        <v>1</v>
      </c>
      <c r="K134" s="14" t="s">
        <v>666</v>
      </c>
      <c r="L134" s="12">
        <f t="shared" si="4"/>
        <v>0</v>
      </c>
    </row>
    <row r="135" spans="1:12" x14ac:dyDescent="0.3">
      <c r="A135" s="5">
        <v>2</v>
      </c>
      <c r="B135" s="5">
        <v>1</v>
      </c>
      <c r="C135" s="5">
        <v>38.197000000000003</v>
      </c>
      <c r="D135" s="5">
        <v>38.197000000000003</v>
      </c>
      <c r="E135" s="5">
        <v>39.436</v>
      </c>
      <c r="F135" s="5">
        <v>1</v>
      </c>
      <c r="G135" s="5" t="s">
        <v>431</v>
      </c>
      <c r="H135" s="5" t="s">
        <v>431</v>
      </c>
      <c r="I135" s="5">
        <v>60</v>
      </c>
      <c r="J135" s="10">
        <f t="shared" si="5"/>
        <v>1</v>
      </c>
      <c r="K135" s="14" t="s">
        <v>674</v>
      </c>
      <c r="L135" s="12">
        <f t="shared" si="4"/>
        <v>1</v>
      </c>
    </row>
    <row r="136" spans="1:12" x14ac:dyDescent="0.3">
      <c r="A136" s="5">
        <v>2</v>
      </c>
      <c r="B136" s="5">
        <v>1</v>
      </c>
      <c r="C136" s="5">
        <v>15.884</v>
      </c>
      <c r="D136" s="5">
        <v>71.915999999999997</v>
      </c>
      <c r="E136" s="5">
        <v>72.725999999999999</v>
      </c>
      <c r="F136" s="5">
        <v>4</v>
      </c>
      <c r="G136" s="5" t="s">
        <v>434</v>
      </c>
      <c r="H136" s="5" t="s">
        <v>431</v>
      </c>
      <c r="I136" s="5">
        <v>90</v>
      </c>
      <c r="J136" s="10">
        <f t="shared" si="5"/>
        <v>1</v>
      </c>
      <c r="K136" s="14" t="s">
        <v>682</v>
      </c>
      <c r="L136" s="12">
        <f t="shared" si="4"/>
        <v>0</v>
      </c>
    </row>
    <row r="137" spans="1:12" x14ac:dyDescent="0.3">
      <c r="A137" s="5">
        <v>2</v>
      </c>
      <c r="B137" s="5">
        <v>1</v>
      </c>
      <c r="C137" s="5">
        <v>17.193999999999999</v>
      </c>
      <c r="D137" s="5">
        <v>17.193999999999999</v>
      </c>
      <c r="E137" s="5">
        <v>18.062000000000001</v>
      </c>
      <c r="F137" s="5">
        <v>1</v>
      </c>
      <c r="G137" s="5" t="s">
        <v>431</v>
      </c>
      <c r="H137" s="5" t="s">
        <v>431</v>
      </c>
      <c r="I137" s="5">
        <v>90</v>
      </c>
      <c r="J137" s="10">
        <f t="shared" si="5"/>
        <v>1</v>
      </c>
      <c r="K137" s="14" t="s">
        <v>690</v>
      </c>
      <c r="L137" s="12">
        <f t="shared" si="4"/>
        <v>1</v>
      </c>
    </row>
    <row r="138" spans="1:12" x14ac:dyDescent="0.3">
      <c r="A138" s="5">
        <v>2</v>
      </c>
      <c r="B138" s="5">
        <v>1</v>
      </c>
      <c r="C138" s="5">
        <v>40.081000000000003</v>
      </c>
      <c r="D138" s="5">
        <v>40.081000000000003</v>
      </c>
      <c r="E138" s="5">
        <v>45.151000000000003</v>
      </c>
      <c r="F138" s="5">
        <v>1</v>
      </c>
      <c r="G138" s="5" t="s">
        <v>431</v>
      </c>
      <c r="H138" s="5" t="s">
        <v>431</v>
      </c>
      <c r="I138" s="5">
        <v>71</v>
      </c>
      <c r="J138" s="10">
        <f t="shared" si="5"/>
        <v>1</v>
      </c>
      <c r="K138" s="14" t="s">
        <v>698</v>
      </c>
      <c r="L138" s="12">
        <f t="shared" si="4"/>
        <v>1</v>
      </c>
    </row>
    <row r="139" spans="1:12" x14ac:dyDescent="0.3">
      <c r="A139" s="5">
        <v>2</v>
      </c>
      <c r="B139" s="5">
        <v>1</v>
      </c>
      <c r="C139" s="5">
        <v>24.373999999999999</v>
      </c>
      <c r="D139" s="5">
        <v>24.373999999999999</v>
      </c>
      <c r="E139" s="5">
        <v>28.129000000000001</v>
      </c>
      <c r="F139" s="5">
        <v>1</v>
      </c>
      <c r="G139" s="5" t="s">
        <v>431</v>
      </c>
      <c r="H139" s="5" t="s">
        <v>431</v>
      </c>
      <c r="I139" s="5">
        <v>82</v>
      </c>
      <c r="J139" s="10">
        <f t="shared" si="5"/>
        <v>0</v>
      </c>
      <c r="K139" s="14"/>
      <c r="L139" s="12">
        <f t="shared" si="4"/>
        <v>1</v>
      </c>
    </row>
    <row r="140" spans="1:12" x14ac:dyDescent="0.3">
      <c r="A140" s="5">
        <v>2</v>
      </c>
      <c r="B140" s="5">
        <v>1</v>
      </c>
      <c r="C140" s="5">
        <v>93.733000000000004</v>
      </c>
      <c r="D140" s="5">
        <v>93.733000000000004</v>
      </c>
      <c r="E140" s="5">
        <v>94.448999999999998</v>
      </c>
      <c r="F140" s="5">
        <v>1</v>
      </c>
      <c r="G140" s="5" t="s">
        <v>434</v>
      </c>
      <c r="H140" s="5" t="s">
        <v>431</v>
      </c>
      <c r="I140" s="5">
        <v>80</v>
      </c>
      <c r="J140" s="10">
        <f t="shared" si="5"/>
        <v>1</v>
      </c>
      <c r="K140" s="14" t="s">
        <v>713</v>
      </c>
      <c r="L140" s="12">
        <f t="shared" si="4"/>
        <v>0</v>
      </c>
    </row>
    <row r="141" spans="1:12" x14ac:dyDescent="0.3">
      <c r="A141" s="5">
        <v>2</v>
      </c>
      <c r="B141" s="5">
        <v>1</v>
      </c>
      <c r="C141" s="5">
        <v>20.831</v>
      </c>
      <c r="D141" s="5">
        <v>20.831</v>
      </c>
      <c r="E141" s="5">
        <v>22.05</v>
      </c>
      <c r="F141" s="5">
        <v>1</v>
      </c>
      <c r="G141" s="5" t="s">
        <v>434</v>
      </c>
      <c r="H141" s="5" t="s">
        <v>431</v>
      </c>
      <c r="I141" s="5">
        <v>75</v>
      </c>
      <c r="J141" s="10">
        <f t="shared" si="5"/>
        <v>0</v>
      </c>
      <c r="K141" s="14"/>
      <c r="L141" s="12">
        <f t="shared" si="4"/>
        <v>0</v>
      </c>
    </row>
    <row r="142" spans="1:12" x14ac:dyDescent="0.3">
      <c r="A142" s="5">
        <v>2</v>
      </c>
      <c r="B142" s="5">
        <v>1</v>
      </c>
      <c r="C142" s="5">
        <v>30.202999999999999</v>
      </c>
      <c r="D142" s="5">
        <v>84.587000000000003</v>
      </c>
      <c r="E142" s="5">
        <v>85.29</v>
      </c>
      <c r="F142" s="5">
        <v>2</v>
      </c>
      <c r="G142" s="5" t="s">
        <v>434</v>
      </c>
      <c r="H142" s="5" t="s">
        <v>431</v>
      </c>
      <c r="I142" s="5">
        <v>90</v>
      </c>
      <c r="J142" s="10">
        <v>1</v>
      </c>
      <c r="K142" s="5" t="s">
        <v>1209</v>
      </c>
      <c r="L142" s="12">
        <f t="shared" si="4"/>
        <v>0</v>
      </c>
    </row>
    <row r="143" spans="1:12" x14ac:dyDescent="0.3">
      <c r="A143" s="5">
        <v>2</v>
      </c>
      <c r="B143" s="5">
        <v>2</v>
      </c>
      <c r="C143" s="5">
        <v>47.354999999999997</v>
      </c>
      <c r="D143" s="5">
        <v>47.354999999999997</v>
      </c>
      <c r="E143" s="5">
        <v>52.637999999999998</v>
      </c>
      <c r="F143" s="5">
        <v>1</v>
      </c>
      <c r="G143" s="5" t="s">
        <v>434</v>
      </c>
      <c r="H143" s="5" t="s">
        <v>431</v>
      </c>
      <c r="I143" s="5">
        <v>90</v>
      </c>
      <c r="J143" s="10">
        <f t="shared" si="5"/>
        <v>1</v>
      </c>
      <c r="K143" s="14" t="s">
        <v>640</v>
      </c>
      <c r="L143" s="12">
        <f t="shared" si="4"/>
        <v>0</v>
      </c>
    </row>
    <row r="144" spans="1:12" x14ac:dyDescent="0.3">
      <c r="A144" s="5">
        <v>2</v>
      </c>
      <c r="B144" s="5">
        <v>2</v>
      </c>
      <c r="C144" s="5">
        <v>1.1120000000000001</v>
      </c>
      <c r="D144" s="5">
        <v>11.076000000000001</v>
      </c>
      <c r="E144" s="5">
        <v>11.201000000000001</v>
      </c>
      <c r="F144" s="5">
        <v>8</v>
      </c>
      <c r="G144" s="5" t="s">
        <v>431</v>
      </c>
      <c r="H144" s="5" t="s">
        <v>431</v>
      </c>
      <c r="I144" s="5">
        <v>96</v>
      </c>
      <c r="J144" s="10">
        <f t="shared" si="5"/>
        <v>1</v>
      </c>
      <c r="K144" s="14" t="s">
        <v>648</v>
      </c>
      <c r="L144" s="12">
        <f t="shared" si="4"/>
        <v>1</v>
      </c>
    </row>
    <row r="145" spans="1:12" x14ac:dyDescent="0.3">
      <c r="A145" s="5">
        <v>2</v>
      </c>
      <c r="B145" s="5">
        <v>2</v>
      </c>
      <c r="C145" s="5">
        <v>19.696999999999999</v>
      </c>
      <c r="D145" s="5">
        <v>28.129000000000001</v>
      </c>
      <c r="E145" s="5">
        <v>47.570999999999998</v>
      </c>
      <c r="F145" s="5">
        <v>7</v>
      </c>
      <c r="G145" s="5" t="s">
        <v>431</v>
      </c>
      <c r="H145" s="5" t="s">
        <v>431</v>
      </c>
      <c r="I145" s="5">
        <v>73</v>
      </c>
      <c r="J145" s="10">
        <f t="shared" si="5"/>
        <v>1</v>
      </c>
      <c r="K145" s="14" t="s">
        <v>651</v>
      </c>
      <c r="L145" s="12">
        <f t="shared" si="4"/>
        <v>1</v>
      </c>
    </row>
    <row r="146" spans="1:12" x14ac:dyDescent="0.3">
      <c r="A146" s="5">
        <v>2</v>
      </c>
      <c r="B146" s="5">
        <v>2</v>
      </c>
      <c r="C146" s="5">
        <v>16.997</v>
      </c>
      <c r="D146" s="5">
        <v>47.671999999999997</v>
      </c>
      <c r="E146" s="5">
        <v>60.438000000000002</v>
      </c>
      <c r="F146" s="5">
        <v>3</v>
      </c>
      <c r="G146" s="5" t="s">
        <v>431</v>
      </c>
      <c r="H146" s="5" t="s">
        <v>431</v>
      </c>
      <c r="I146" s="5">
        <v>80</v>
      </c>
      <c r="J146" s="10">
        <f t="shared" si="5"/>
        <v>1</v>
      </c>
      <c r="K146" s="14" t="s">
        <v>659</v>
      </c>
      <c r="L146" s="12">
        <f t="shared" si="4"/>
        <v>1</v>
      </c>
    </row>
    <row r="147" spans="1:12" x14ac:dyDescent="0.3">
      <c r="A147" s="5">
        <v>2</v>
      </c>
      <c r="B147" s="5">
        <v>2</v>
      </c>
      <c r="C147" s="5">
        <v>105.849</v>
      </c>
      <c r="D147" s="5">
        <v>105.849</v>
      </c>
      <c r="E147" s="5">
        <v>200.221</v>
      </c>
      <c r="F147" s="5">
        <v>1</v>
      </c>
      <c r="G147" s="5" t="s">
        <v>431</v>
      </c>
      <c r="H147" s="5" t="s">
        <v>431</v>
      </c>
      <c r="I147" s="5">
        <v>81</v>
      </c>
      <c r="J147" s="10">
        <f t="shared" si="5"/>
        <v>1</v>
      </c>
      <c r="K147" s="14" t="s">
        <v>667</v>
      </c>
      <c r="L147" s="12">
        <f t="shared" si="4"/>
        <v>1</v>
      </c>
    </row>
    <row r="148" spans="1:12" x14ac:dyDescent="0.3">
      <c r="A148" s="5">
        <v>2</v>
      </c>
      <c r="B148" s="5">
        <v>2</v>
      </c>
      <c r="C148" s="5">
        <v>63.981000000000002</v>
      </c>
      <c r="D148" s="5">
        <v>63.981000000000002</v>
      </c>
      <c r="E148" s="5">
        <v>67.088999999999999</v>
      </c>
      <c r="F148" s="5">
        <v>1</v>
      </c>
      <c r="G148" s="5" t="s">
        <v>431</v>
      </c>
      <c r="H148" s="5" t="s">
        <v>431</v>
      </c>
      <c r="I148" s="5">
        <v>20</v>
      </c>
      <c r="J148" s="10">
        <f t="shared" si="5"/>
        <v>1</v>
      </c>
      <c r="K148" s="14" t="s">
        <v>675</v>
      </c>
      <c r="L148" s="12">
        <f t="shared" si="4"/>
        <v>1</v>
      </c>
    </row>
    <row r="149" spans="1:12" x14ac:dyDescent="0.3">
      <c r="A149" s="5">
        <v>2</v>
      </c>
      <c r="B149" s="5">
        <v>2</v>
      </c>
      <c r="C149" s="5">
        <v>3.9940000000000002</v>
      </c>
      <c r="D149" s="5">
        <v>29.481000000000002</v>
      </c>
      <c r="E149" s="5">
        <v>30.276</v>
      </c>
      <c r="F149" s="5">
        <v>2</v>
      </c>
      <c r="G149" s="5" t="s">
        <v>431</v>
      </c>
      <c r="H149" s="5" t="s">
        <v>431</v>
      </c>
      <c r="I149" s="5">
        <v>100</v>
      </c>
      <c r="J149" s="10">
        <f t="shared" si="5"/>
        <v>1</v>
      </c>
      <c r="K149" s="14" t="s">
        <v>683</v>
      </c>
      <c r="L149" s="12">
        <f t="shared" si="4"/>
        <v>1</v>
      </c>
    </row>
    <row r="150" spans="1:12" x14ac:dyDescent="0.3">
      <c r="A150" s="5">
        <v>2</v>
      </c>
      <c r="B150" s="5">
        <v>2</v>
      </c>
      <c r="C150" s="5">
        <v>19.838999999999999</v>
      </c>
      <c r="D150" s="5">
        <v>19.838999999999999</v>
      </c>
      <c r="E150" s="5">
        <v>29.007000000000001</v>
      </c>
      <c r="F150" s="5">
        <v>1</v>
      </c>
      <c r="G150" s="5" t="s">
        <v>431</v>
      </c>
      <c r="H150" s="5" t="s">
        <v>431</v>
      </c>
      <c r="I150" s="5">
        <v>65</v>
      </c>
      <c r="J150" s="10">
        <f t="shared" si="5"/>
        <v>1</v>
      </c>
      <c r="K150" s="14" t="s">
        <v>691</v>
      </c>
      <c r="L150" s="12">
        <f t="shared" si="4"/>
        <v>1</v>
      </c>
    </row>
    <row r="151" spans="1:12" x14ac:dyDescent="0.3">
      <c r="A151" s="5">
        <v>2</v>
      </c>
      <c r="B151" s="5">
        <v>2</v>
      </c>
      <c r="C151" s="5">
        <v>13.212</v>
      </c>
      <c r="D151" s="5">
        <v>14.629</v>
      </c>
      <c r="E151" s="5">
        <v>16.745000000000001</v>
      </c>
      <c r="F151" s="5">
        <v>2</v>
      </c>
      <c r="G151" s="5" t="s">
        <v>434</v>
      </c>
      <c r="H151" s="5" t="s">
        <v>431</v>
      </c>
      <c r="I151" s="5">
        <v>83</v>
      </c>
      <c r="J151" s="10">
        <f t="shared" si="5"/>
        <v>1</v>
      </c>
      <c r="K151" s="14" t="s">
        <v>699</v>
      </c>
      <c r="L151" s="12">
        <f t="shared" si="4"/>
        <v>0</v>
      </c>
    </row>
    <row r="152" spans="1:12" x14ac:dyDescent="0.3">
      <c r="A152" s="5">
        <v>2</v>
      </c>
      <c r="B152" s="5">
        <v>2</v>
      </c>
      <c r="C152" s="5">
        <v>29.254000000000001</v>
      </c>
      <c r="D152" s="5">
        <v>104.956</v>
      </c>
      <c r="E152" s="5">
        <v>105.872</v>
      </c>
      <c r="F152" s="5">
        <v>4</v>
      </c>
      <c r="G152" s="5" t="s">
        <v>431</v>
      </c>
      <c r="H152" s="5" t="s">
        <v>431</v>
      </c>
      <c r="I152" s="5">
        <v>100</v>
      </c>
      <c r="J152" s="10">
        <f t="shared" si="5"/>
        <v>1</v>
      </c>
      <c r="K152" s="14" t="s">
        <v>706</v>
      </c>
      <c r="L152" s="12">
        <f t="shared" si="4"/>
        <v>1</v>
      </c>
    </row>
    <row r="153" spans="1:12" x14ac:dyDescent="0.3">
      <c r="A153" s="5">
        <v>2</v>
      </c>
      <c r="B153" s="5">
        <v>2</v>
      </c>
      <c r="C153" s="5">
        <v>70.066999999999993</v>
      </c>
      <c r="D153" s="5">
        <v>81.418999999999997</v>
      </c>
      <c r="E153" s="5">
        <v>82.367000000000004</v>
      </c>
      <c r="F153" s="5">
        <v>2</v>
      </c>
      <c r="G153" s="5" t="s">
        <v>434</v>
      </c>
      <c r="H153" s="5" t="s">
        <v>431</v>
      </c>
      <c r="I153" s="5">
        <v>80</v>
      </c>
      <c r="J153" s="10">
        <f t="shared" si="5"/>
        <v>1</v>
      </c>
      <c r="K153" s="14" t="s">
        <v>714</v>
      </c>
      <c r="L153" s="12">
        <f t="shared" si="4"/>
        <v>0</v>
      </c>
    </row>
    <row r="154" spans="1:12" x14ac:dyDescent="0.3">
      <c r="A154" s="5">
        <v>2</v>
      </c>
      <c r="B154" s="5">
        <v>2</v>
      </c>
      <c r="C154" s="5">
        <v>41.231999999999999</v>
      </c>
      <c r="D154" s="5">
        <v>41.231999999999999</v>
      </c>
      <c r="E154" s="5">
        <v>43.247999999999998</v>
      </c>
      <c r="F154" s="5">
        <v>1</v>
      </c>
      <c r="G154" s="5" t="s">
        <v>434</v>
      </c>
      <c r="H154" s="5" t="s">
        <v>431</v>
      </c>
      <c r="I154" s="5">
        <v>28</v>
      </c>
      <c r="J154" s="10">
        <f t="shared" si="5"/>
        <v>0</v>
      </c>
      <c r="K154" s="14"/>
      <c r="L154" s="12">
        <f t="shared" si="4"/>
        <v>0</v>
      </c>
    </row>
    <row r="155" spans="1:12" x14ac:dyDescent="0.3">
      <c r="A155" s="5">
        <v>2</v>
      </c>
      <c r="B155" s="5">
        <v>2</v>
      </c>
      <c r="C155" s="5">
        <v>11.815</v>
      </c>
      <c r="D155" s="5">
        <v>45.46</v>
      </c>
      <c r="E155" s="5">
        <v>46.582999999999998</v>
      </c>
      <c r="F155" s="5">
        <v>2</v>
      </c>
      <c r="G155" s="18" t="s">
        <v>431</v>
      </c>
      <c r="H155" s="18" t="s">
        <v>431</v>
      </c>
      <c r="I155" s="5">
        <v>92</v>
      </c>
      <c r="J155" s="10">
        <v>1</v>
      </c>
      <c r="K155" s="5" t="s">
        <v>1210</v>
      </c>
      <c r="L155" s="12">
        <f t="shared" si="4"/>
        <v>1</v>
      </c>
    </row>
    <row r="156" spans="1:12" x14ac:dyDescent="0.3">
      <c r="A156" s="5">
        <v>2</v>
      </c>
      <c r="B156" s="5">
        <v>3</v>
      </c>
      <c r="C156" s="5">
        <v>26.678999999999998</v>
      </c>
      <c r="D156" s="5">
        <v>26.678999999999998</v>
      </c>
      <c r="E156" s="5">
        <v>27.635000000000002</v>
      </c>
      <c r="F156" s="5">
        <v>1</v>
      </c>
      <c r="G156" s="5" t="s">
        <v>431</v>
      </c>
      <c r="H156" s="5" t="s">
        <v>434</v>
      </c>
      <c r="I156" s="5">
        <v>80</v>
      </c>
      <c r="J156" s="10">
        <f t="shared" si="5"/>
        <v>1</v>
      </c>
      <c r="K156" s="14" t="s">
        <v>641</v>
      </c>
      <c r="L156" s="12">
        <f t="shared" si="4"/>
        <v>0</v>
      </c>
    </row>
    <row r="157" spans="1:12" x14ac:dyDescent="0.3">
      <c r="A157" s="5">
        <v>2</v>
      </c>
      <c r="B157" s="5">
        <v>3</v>
      </c>
      <c r="C157" s="5">
        <v>5.2530000000000001</v>
      </c>
      <c r="D157" s="5">
        <v>20.779</v>
      </c>
      <c r="E157" s="5">
        <v>21.102</v>
      </c>
      <c r="F157" s="5">
        <v>5</v>
      </c>
      <c r="G157" s="5" t="s">
        <v>434</v>
      </c>
      <c r="H157" s="5" t="s">
        <v>434</v>
      </c>
      <c r="I157" s="5">
        <v>81</v>
      </c>
      <c r="J157" s="10">
        <f t="shared" si="5"/>
        <v>1</v>
      </c>
      <c r="K157" s="14" t="s">
        <v>649</v>
      </c>
      <c r="L157" s="12">
        <f t="shared" si="4"/>
        <v>1</v>
      </c>
    </row>
    <row r="158" spans="1:12" x14ac:dyDescent="0.3">
      <c r="A158" s="5">
        <v>2</v>
      </c>
      <c r="B158" s="5">
        <v>3</v>
      </c>
      <c r="C158" s="5">
        <v>4.7510000000000003</v>
      </c>
      <c r="D158" s="5">
        <v>32.161000000000001</v>
      </c>
      <c r="E158" s="5">
        <v>33.674999999999997</v>
      </c>
      <c r="F158" s="5">
        <v>13</v>
      </c>
      <c r="G158" s="5" t="s">
        <v>431</v>
      </c>
      <c r="H158" s="5" t="s">
        <v>434</v>
      </c>
      <c r="I158" s="5">
        <v>77</v>
      </c>
      <c r="J158" s="10">
        <f t="shared" si="5"/>
        <v>1</v>
      </c>
      <c r="K158" s="14" t="s">
        <v>652</v>
      </c>
      <c r="L158" s="12">
        <f t="shared" si="4"/>
        <v>0</v>
      </c>
    </row>
    <row r="159" spans="1:12" x14ac:dyDescent="0.3">
      <c r="A159" s="5">
        <v>2</v>
      </c>
      <c r="B159" s="5">
        <v>3</v>
      </c>
      <c r="C159" s="5">
        <v>4.3810000000000002</v>
      </c>
      <c r="D159" s="5">
        <v>24.759</v>
      </c>
      <c r="E159" s="5">
        <v>30.116</v>
      </c>
      <c r="F159" s="5">
        <v>5</v>
      </c>
      <c r="G159" s="5" t="s">
        <v>434</v>
      </c>
      <c r="H159" s="5" t="s">
        <v>434</v>
      </c>
      <c r="I159" s="5">
        <v>80</v>
      </c>
      <c r="J159" s="10">
        <f t="shared" si="5"/>
        <v>1</v>
      </c>
      <c r="K159" s="14" t="s">
        <v>660</v>
      </c>
      <c r="L159" s="12">
        <f t="shared" si="4"/>
        <v>1</v>
      </c>
    </row>
    <row r="160" spans="1:12" x14ac:dyDescent="0.3">
      <c r="A160" s="5">
        <v>2</v>
      </c>
      <c r="B160" s="5">
        <v>3</v>
      </c>
      <c r="C160" s="5">
        <v>183.833</v>
      </c>
      <c r="D160" s="5">
        <v>183.833</v>
      </c>
      <c r="E160" s="5">
        <v>185.04599999999999</v>
      </c>
      <c r="F160" s="5">
        <v>1</v>
      </c>
      <c r="G160" s="5" t="s">
        <v>434</v>
      </c>
      <c r="H160" s="5" t="s">
        <v>434</v>
      </c>
      <c r="I160" s="5">
        <v>51</v>
      </c>
      <c r="J160" s="10">
        <f t="shared" si="5"/>
        <v>1</v>
      </c>
      <c r="K160" s="14" t="s">
        <v>668</v>
      </c>
      <c r="L160" s="12">
        <f t="shared" si="4"/>
        <v>1</v>
      </c>
    </row>
    <row r="161" spans="1:12" x14ac:dyDescent="0.3">
      <c r="A161" s="5">
        <v>2</v>
      </c>
      <c r="B161" s="5">
        <v>3</v>
      </c>
      <c r="C161" s="5">
        <v>36.064</v>
      </c>
      <c r="D161" s="5">
        <v>36.064</v>
      </c>
      <c r="E161" s="5">
        <v>37.604999999999997</v>
      </c>
      <c r="F161" s="5">
        <v>1</v>
      </c>
      <c r="G161" s="5" t="s">
        <v>431</v>
      </c>
      <c r="H161" s="5" t="s">
        <v>434</v>
      </c>
      <c r="I161" s="5">
        <v>90</v>
      </c>
      <c r="J161" s="10">
        <f t="shared" si="5"/>
        <v>1</v>
      </c>
      <c r="K161" s="14" t="s">
        <v>676</v>
      </c>
      <c r="L161" s="12">
        <f t="shared" si="4"/>
        <v>0</v>
      </c>
    </row>
    <row r="162" spans="1:12" x14ac:dyDescent="0.3">
      <c r="A162" s="5">
        <v>2</v>
      </c>
      <c r="B162" s="5">
        <v>3</v>
      </c>
      <c r="C162" s="5">
        <v>2.5270000000000001</v>
      </c>
      <c r="D162" s="5">
        <v>34.054000000000002</v>
      </c>
      <c r="E162" s="5">
        <v>34.633000000000003</v>
      </c>
      <c r="F162" s="5">
        <v>2</v>
      </c>
      <c r="G162" s="5" t="s">
        <v>431</v>
      </c>
      <c r="H162" s="5" t="s">
        <v>434</v>
      </c>
      <c r="I162" s="5">
        <v>80</v>
      </c>
      <c r="J162" s="10">
        <f t="shared" si="5"/>
        <v>1</v>
      </c>
      <c r="K162" s="14" t="s">
        <v>684</v>
      </c>
      <c r="L162" s="12">
        <f t="shared" si="4"/>
        <v>0</v>
      </c>
    </row>
    <row r="163" spans="1:12" x14ac:dyDescent="0.3">
      <c r="A163" s="5">
        <v>2</v>
      </c>
      <c r="B163" s="5">
        <v>3</v>
      </c>
      <c r="C163" s="5">
        <v>15.263999999999999</v>
      </c>
      <c r="D163" s="5">
        <v>15.263999999999999</v>
      </c>
      <c r="E163" s="5">
        <v>29.766999999999999</v>
      </c>
      <c r="F163" s="5">
        <v>1</v>
      </c>
      <c r="G163" s="5" t="s">
        <v>431</v>
      </c>
      <c r="H163" s="5" t="s">
        <v>434</v>
      </c>
      <c r="I163" s="5">
        <v>35</v>
      </c>
      <c r="J163" s="10">
        <f t="shared" si="5"/>
        <v>1</v>
      </c>
      <c r="K163" s="14" t="s">
        <v>692</v>
      </c>
      <c r="L163" s="12">
        <f t="shared" si="4"/>
        <v>0</v>
      </c>
    </row>
    <row r="164" spans="1:12" x14ac:dyDescent="0.3">
      <c r="A164" s="5">
        <v>2</v>
      </c>
      <c r="B164" s="5">
        <v>3</v>
      </c>
      <c r="C164" s="5">
        <v>1.0169999999999999</v>
      </c>
      <c r="D164" s="5">
        <v>11.317</v>
      </c>
      <c r="E164" s="5">
        <v>12.936999999999999</v>
      </c>
      <c r="F164" s="5">
        <v>3</v>
      </c>
      <c r="G164" s="5" t="s">
        <v>431</v>
      </c>
      <c r="H164" s="5" t="s">
        <v>434</v>
      </c>
      <c r="I164" s="5">
        <v>87</v>
      </c>
      <c r="J164" s="10">
        <f t="shared" si="5"/>
        <v>1</v>
      </c>
      <c r="K164" s="14" t="s">
        <v>700</v>
      </c>
      <c r="L164" s="12">
        <f t="shared" si="4"/>
        <v>0</v>
      </c>
    </row>
    <row r="165" spans="1:12" x14ac:dyDescent="0.3">
      <c r="A165" s="5">
        <v>2</v>
      </c>
      <c r="B165" s="5">
        <v>3</v>
      </c>
      <c r="C165" s="5">
        <v>11.561</v>
      </c>
      <c r="D165" s="5">
        <v>11.561</v>
      </c>
      <c r="E165" s="5">
        <v>12.561999999999999</v>
      </c>
      <c r="F165" s="5">
        <v>1</v>
      </c>
      <c r="G165" s="5" t="s">
        <v>431</v>
      </c>
      <c r="H165" s="5" t="s">
        <v>434</v>
      </c>
      <c r="I165" s="5">
        <v>71</v>
      </c>
      <c r="J165" s="10">
        <f t="shared" si="5"/>
        <v>1</v>
      </c>
      <c r="K165" s="14" t="s">
        <v>707</v>
      </c>
      <c r="L165" s="12">
        <f t="shared" si="4"/>
        <v>0</v>
      </c>
    </row>
    <row r="166" spans="1:12" x14ac:dyDescent="0.3">
      <c r="A166" s="5">
        <v>2</v>
      </c>
      <c r="B166" s="5">
        <v>3</v>
      </c>
      <c r="C166" s="5">
        <v>72.558999999999997</v>
      </c>
      <c r="D166" s="5">
        <v>72.558999999999997</v>
      </c>
      <c r="E166" s="5">
        <v>73.731999999999999</v>
      </c>
      <c r="F166" s="5">
        <v>1</v>
      </c>
      <c r="G166" s="5" t="s">
        <v>434</v>
      </c>
      <c r="H166" s="5" t="s">
        <v>434</v>
      </c>
      <c r="I166" s="5">
        <v>80</v>
      </c>
      <c r="J166" s="10">
        <f t="shared" si="5"/>
        <v>1</v>
      </c>
      <c r="K166" s="14" t="s">
        <v>715</v>
      </c>
      <c r="L166" s="12">
        <f t="shared" si="4"/>
        <v>1</v>
      </c>
    </row>
    <row r="167" spans="1:12" x14ac:dyDescent="0.3">
      <c r="A167" s="5">
        <v>2</v>
      </c>
      <c r="B167" s="5">
        <v>3</v>
      </c>
      <c r="C167" s="5">
        <v>15.872999999999999</v>
      </c>
      <c r="D167" s="5">
        <v>15.872999999999999</v>
      </c>
      <c r="E167" s="5">
        <v>17.68</v>
      </c>
      <c r="F167" s="5">
        <v>1</v>
      </c>
      <c r="G167" s="5" t="s">
        <v>431</v>
      </c>
      <c r="H167" s="5" t="s">
        <v>434</v>
      </c>
      <c r="I167" s="5">
        <v>60</v>
      </c>
      <c r="J167" s="10">
        <f t="shared" si="5"/>
        <v>0</v>
      </c>
      <c r="K167" s="14"/>
      <c r="L167" s="12">
        <f t="shared" si="4"/>
        <v>0</v>
      </c>
    </row>
    <row r="168" spans="1:12" x14ac:dyDescent="0.3">
      <c r="A168" s="5">
        <v>2</v>
      </c>
      <c r="B168" s="5">
        <v>3</v>
      </c>
      <c r="C168" s="5">
        <v>11.904999999999999</v>
      </c>
      <c r="D168" s="5">
        <v>24.75</v>
      </c>
      <c r="E168" s="5">
        <v>26.529</v>
      </c>
      <c r="F168" s="5">
        <v>2</v>
      </c>
      <c r="G168" s="5" t="s">
        <v>431</v>
      </c>
      <c r="H168" s="18" t="s">
        <v>434</v>
      </c>
      <c r="I168" s="5">
        <v>92</v>
      </c>
      <c r="J168" s="10">
        <v>1</v>
      </c>
      <c r="K168" s="5" t="s">
        <v>1211</v>
      </c>
      <c r="L168" s="12">
        <f t="shared" si="4"/>
        <v>0</v>
      </c>
    </row>
    <row r="169" spans="1:12" x14ac:dyDescent="0.3">
      <c r="A169" s="5">
        <v>2</v>
      </c>
      <c r="B169" s="5">
        <v>4</v>
      </c>
      <c r="C169" s="5">
        <v>61.56</v>
      </c>
      <c r="D169" s="5">
        <v>61.56</v>
      </c>
      <c r="E169" s="5">
        <v>62.93</v>
      </c>
      <c r="F169" s="5">
        <v>1</v>
      </c>
      <c r="G169" s="5" t="s">
        <v>434</v>
      </c>
      <c r="H169" s="5" t="s">
        <v>434</v>
      </c>
      <c r="I169" s="5">
        <v>90</v>
      </c>
      <c r="J169" s="10">
        <f t="shared" si="5"/>
        <v>1</v>
      </c>
      <c r="K169" s="14" t="s">
        <v>642</v>
      </c>
      <c r="L169" s="12">
        <f t="shared" si="4"/>
        <v>1</v>
      </c>
    </row>
    <row r="170" spans="1:12" x14ac:dyDescent="0.3">
      <c r="A170" s="5">
        <v>2</v>
      </c>
      <c r="B170" s="5">
        <v>4</v>
      </c>
      <c r="C170" s="5">
        <v>1.004</v>
      </c>
      <c r="D170" s="5">
        <v>12.526999999999999</v>
      </c>
      <c r="E170" s="5">
        <v>13.074</v>
      </c>
      <c r="F170" s="5">
        <v>5</v>
      </c>
      <c r="G170" s="5" t="s">
        <v>434</v>
      </c>
      <c r="H170" s="5" t="s">
        <v>434</v>
      </c>
      <c r="I170" s="5">
        <v>70</v>
      </c>
      <c r="J170" s="10">
        <f t="shared" si="5"/>
        <v>1</v>
      </c>
      <c r="K170" s="14" t="s">
        <v>649</v>
      </c>
      <c r="L170" s="12">
        <f t="shared" si="4"/>
        <v>1</v>
      </c>
    </row>
    <row r="171" spans="1:12" x14ac:dyDescent="0.3">
      <c r="A171" s="5">
        <v>2</v>
      </c>
      <c r="B171" s="5">
        <v>4</v>
      </c>
      <c r="C171" s="5">
        <v>2.5409999999999999</v>
      </c>
      <c r="D171" s="5">
        <v>15.252000000000001</v>
      </c>
      <c r="E171" s="5">
        <v>17.995000000000001</v>
      </c>
      <c r="F171" s="5">
        <v>3</v>
      </c>
      <c r="G171" s="5" t="s">
        <v>434</v>
      </c>
      <c r="H171" s="5" t="s">
        <v>434</v>
      </c>
      <c r="I171" s="5">
        <v>100</v>
      </c>
      <c r="J171" s="10">
        <f t="shared" si="5"/>
        <v>1</v>
      </c>
      <c r="K171" s="14" t="s">
        <v>653</v>
      </c>
      <c r="L171" s="12">
        <f t="shared" si="4"/>
        <v>1</v>
      </c>
    </row>
    <row r="172" spans="1:12" x14ac:dyDescent="0.3">
      <c r="A172" s="5">
        <v>2</v>
      </c>
      <c r="B172" s="5">
        <v>4</v>
      </c>
      <c r="C172" s="5">
        <v>16.893000000000001</v>
      </c>
      <c r="D172" s="5">
        <v>16.893000000000001</v>
      </c>
      <c r="E172" s="5">
        <v>36.073</v>
      </c>
      <c r="F172" s="5">
        <v>1</v>
      </c>
      <c r="G172" s="5" t="s">
        <v>434</v>
      </c>
      <c r="H172" s="5" t="s">
        <v>434</v>
      </c>
      <c r="I172" s="5">
        <v>90</v>
      </c>
      <c r="J172" s="10">
        <f t="shared" si="5"/>
        <v>1</v>
      </c>
      <c r="K172" s="14" t="s">
        <v>661</v>
      </c>
      <c r="L172" s="12">
        <f t="shared" si="4"/>
        <v>1</v>
      </c>
    </row>
    <row r="173" spans="1:12" x14ac:dyDescent="0.3">
      <c r="A173" s="5">
        <v>2</v>
      </c>
      <c r="B173" s="5">
        <v>4</v>
      </c>
      <c r="C173" s="5">
        <v>106.17</v>
      </c>
      <c r="D173" s="5">
        <v>106.17</v>
      </c>
      <c r="E173" s="5">
        <v>108.709</v>
      </c>
      <c r="F173" s="5">
        <v>1</v>
      </c>
      <c r="G173" s="5" t="s">
        <v>434</v>
      </c>
      <c r="H173" s="5" t="s">
        <v>434</v>
      </c>
      <c r="I173" s="5">
        <v>50</v>
      </c>
      <c r="J173" s="10">
        <f t="shared" si="5"/>
        <v>1</v>
      </c>
      <c r="K173" s="14" t="s">
        <v>669</v>
      </c>
      <c r="L173" s="12">
        <f t="shared" si="4"/>
        <v>1</v>
      </c>
    </row>
    <row r="174" spans="1:12" x14ac:dyDescent="0.3">
      <c r="A174" s="5">
        <v>2</v>
      </c>
      <c r="B174" s="5">
        <v>4</v>
      </c>
      <c r="C174" s="5">
        <v>46.908000000000001</v>
      </c>
      <c r="D174" s="5">
        <v>46.908000000000001</v>
      </c>
      <c r="E174" s="5">
        <v>60.563000000000002</v>
      </c>
      <c r="F174" s="5">
        <v>1</v>
      </c>
      <c r="G174" s="5" t="s">
        <v>434</v>
      </c>
      <c r="H174" s="5" t="s">
        <v>434</v>
      </c>
      <c r="I174" s="5">
        <v>40</v>
      </c>
      <c r="J174" s="10">
        <f t="shared" si="5"/>
        <v>1</v>
      </c>
      <c r="K174" s="14" t="s">
        <v>677</v>
      </c>
      <c r="L174" s="12">
        <f t="shared" si="4"/>
        <v>1</v>
      </c>
    </row>
    <row r="175" spans="1:12" x14ac:dyDescent="0.3">
      <c r="A175" s="5">
        <v>2</v>
      </c>
      <c r="B175" s="5">
        <v>4</v>
      </c>
      <c r="C175" s="5">
        <v>2.798</v>
      </c>
      <c r="D175" s="5">
        <v>33.749000000000002</v>
      </c>
      <c r="E175" s="5">
        <v>34.520000000000003</v>
      </c>
      <c r="F175" s="5">
        <v>6</v>
      </c>
      <c r="G175" s="5" t="s">
        <v>431</v>
      </c>
      <c r="H175" s="5" t="s">
        <v>434</v>
      </c>
      <c r="I175" s="5">
        <v>100</v>
      </c>
      <c r="J175" s="10">
        <f t="shared" si="5"/>
        <v>1</v>
      </c>
      <c r="K175" s="14" t="s">
        <v>685</v>
      </c>
      <c r="L175" s="12">
        <f t="shared" si="4"/>
        <v>0</v>
      </c>
    </row>
    <row r="176" spans="1:12" x14ac:dyDescent="0.3">
      <c r="A176" s="5">
        <v>2</v>
      </c>
      <c r="B176" s="5">
        <v>4</v>
      </c>
      <c r="C176" s="5">
        <v>21.478999999999999</v>
      </c>
      <c r="D176" s="5">
        <v>21.478999999999999</v>
      </c>
      <c r="E176" s="5">
        <v>27.597999999999999</v>
      </c>
      <c r="F176" s="5">
        <v>1</v>
      </c>
      <c r="G176" s="5" t="s">
        <v>434</v>
      </c>
      <c r="H176" s="5" t="s">
        <v>434</v>
      </c>
      <c r="I176" s="5">
        <v>40</v>
      </c>
      <c r="J176" s="10">
        <f t="shared" si="5"/>
        <v>1</v>
      </c>
      <c r="K176" s="14" t="s">
        <v>693</v>
      </c>
      <c r="L176" s="12">
        <f t="shared" si="4"/>
        <v>1</v>
      </c>
    </row>
    <row r="177" spans="1:12" x14ac:dyDescent="0.3">
      <c r="A177" s="5">
        <v>2</v>
      </c>
      <c r="B177" s="5">
        <v>4</v>
      </c>
      <c r="C177" s="5">
        <v>1.456</v>
      </c>
      <c r="D177" s="5">
        <v>27.53</v>
      </c>
      <c r="E177" s="5">
        <v>28.518000000000001</v>
      </c>
      <c r="F177" s="5">
        <v>5</v>
      </c>
      <c r="G177" s="5" t="s">
        <v>434</v>
      </c>
      <c r="H177" s="5" t="s">
        <v>434</v>
      </c>
      <c r="I177" s="5">
        <v>72</v>
      </c>
      <c r="J177" s="10">
        <f t="shared" si="5"/>
        <v>1</v>
      </c>
      <c r="K177" s="14" t="s">
        <v>701</v>
      </c>
      <c r="L177" s="12">
        <f t="shared" si="4"/>
        <v>1</v>
      </c>
    </row>
    <row r="178" spans="1:12" x14ac:dyDescent="0.3">
      <c r="A178" s="5">
        <v>2</v>
      </c>
      <c r="B178" s="5">
        <v>4</v>
      </c>
      <c r="C178" s="5">
        <v>7.9790000000000001</v>
      </c>
      <c r="D178" s="5">
        <v>93.688000000000002</v>
      </c>
      <c r="E178" s="5">
        <v>94.980999999999995</v>
      </c>
      <c r="F178" s="5">
        <v>5</v>
      </c>
      <c r="G178" s="5" t="s">
        <v>434</v>
      </c>
      <c r="H178" s="5" t="s">
        <v>434</v>
      </c>
      <c r="I178" s="5">
        <v>100</v>
      </c>
      <c r="J178" s="10">
        <f t="shared" si="5"/>
        <v>1</v>
      </c>
      <c r="K178" s="14" t="s">
        <v>708</v>
      </c>
      <c r="L178" s="12">
        <f t="shared" si="4"/>
        <v>1</v>
      </c>
    </row>
    <row r="179" spans="1:12" x14ac:dyDescent="0.3">
      <c r="A179" s="5">
        <v>2</v>
      </c>
      <c r="B179" s="5">
        <v>4</v>
      </c>
      <c r="C179" s="5">
        <v>39.44</v>
      </c>
      <c r="D179" s="5">
        <v>39.44</v>
      </c>
      <c r="E179" s="5">
        <v>64.036000000000001</v>
      </c>
      <c r="F179" s="5">
        <v>1</v>
      </c>
      <c r="G179" s="5" t="s">
        <v>434</v>
      </c>
      <c r="H179" s="5" t="s">
        <v>434</v>
      </c>
      <c r="I179" s="5">
        <v>80</v>
      </c>
      <c r="J179" s="10">
        <f t="shared" si="5"/>
        <v>1</v>
      </c>
      <c r="K179" s="14" t="s">
        <v>716</v>
      </c>
      <c r="L179" s="12">
        <f t="shared" si="4"/>
        <v>1</v>
      </c>
    </row>
    <row r="180" spans="1:12" x14ac:dyDescent="0.3">
      <c r="A180" s="5">
        <v>2</v>
      </c>
      <c r="B180" s="5">
        <v>4</v>
      </c>
      <c r="C180" s="5">
        <v>61.015000000000001</v>
      </c>
      <c r="D180" s="5">
        <v>61.015000000000001</v>
      </c>
      <c r="E180" s="5">
        <v>66.263000000000005</v>
      </c>
      <c r="F180" s="5">
        <v>1</v>
      </c>
      <c r="G180" s="5" t="s">
        <v>434</v>
      </c>
      <c r="H180" s="5" t="s">
        <v>434</v>
      </c>
      <c r="I180" s="5">
        <v>71</v>
      </c>
      <c r="J180" s="10">
        <f t="shared" si="5"/>
        <v>0</v>
      </c>
      <c r="K180" s="14"/>
      <c r="L180" s="12">
        <f t="shared" si="4"/>
        <v>1</v>
      </c>
    </row>
    <row r="181" spans="1:12" x14ac:dyDescent="0.3">
      <c r="A181" s="5">
        <v>2</v>
      </c>
      <c r="B181" s="5">
        <v>4</v>
      </c>
      <c r="C181" s="5">
        <v>9.9380000000000006</v>
      </c>
      <c r="D181" s="5">
        <v>53.34</v>
      </c>
      <c r="E181" s="5">
        <v>63.142000000000003</v>
      </c>
      <c r="F181" s="5">
        <v>2</v>
      </c>
      <c r="G181" s="5" t="s">
        <v>434</v>
      </c>
      <c r="H181" s="5" t="s">
        <v>434</v>
      </c>
      <c r="I181" s="5">
        <v>92</v>
      </c>
      <c r="J181" s="10">
        <v>1</v>
      </c>
      <c r="K181" s="5" t="s">
        <v>1212</v>
      </c>
      <c r="L181" s="12">
        <f t="shared" si="4"/>
        <v>1</v>
      </c>
    </row>
    <row r="182" spans="1:12" x14ac:dyDescent="0.3">
      <c r="A182" s="5">
        <v>2</v>
      </c>
      <c r="B182" s="5">
        <v>5</v>
      </c>
      <c r="C182" s="5">
        <v>19.087</v>
      </c>
      <c r="D182" s="5">
        <v>114.602</v>
      </c>
      <c r="E182" s="5">
        <v>115.63</v>
      </c>
      <c r="F182" s="5">
        <v>3</v>
      </c>
      <c r="G182" s="5" t="s">
        <v>434</v>
      </c>
      <c r="H182" s="5" t="s">
        <v>431</v>
      </c>
      <c r="I182" s="5">
        <v>90</v>
      </c>
      <c r="J182" s="10">
        <f t="shared" si="5"/>
        <v>1</v>
      </c>
      <c r="K182" s="14" t="s">
        <v>643</v>
      </c>
      <c r="L182" s="12">
        <f t="shared" si="4"/>
        <v>0</v>
      </c>
    </row>
    <row r="183" spans="1:12" x14ac:dyDescent="0.3">
      <c r="A183" s="5">
        <v>2</v>
      </c>
      <c r="B183" s="5">
        <v>5</v>
      </c>
      <c r="C183" s="5">
        <v>0.54500000000000004</v>
      </c>
      <c r="D183" s="5">
        <v>22.71</v>
      </c>
      <c r="E183" s="5">
        <v>23.391999999999999</v>
      </c>
      <c r="F183" s="5">
        <v>3</v>
      </c>
      <c r="G183" s="5" t="s">
        <v>431</v>
      </c>
      <c r="H183" s="5" t="s">
        <v>431</v>
      </c>
      <c r="I183" s="5">
        <v>79</v>
      </c>
      <c r="J183" s="10">
        <f t="shared" si="5"/>
        <v>0</v>
      </c>
      <c r="K183" s="14"/>
      <c r="L183" s="12">
        <f t="shared" si="4"/>
        <v>1</v>
      </c>
    </row>
    <row r="184" spans="1:12" x14ac:dyDescent="0.3">
      <c r="A184" s="5">
        <v>2</v>
      </c>
      <c r="B184" s="5">
        <v>5</v>
      </c>
      <c r="C184" s="5">
        <v>4.3170000000000002</v>
      </c>
      <c r="D184" s="5">
        <v>29.934999999999999</v>
      </c>
      <c r="E184" s="5">
        <v>40.860999999999997</v>
      </c>
      <c r="F184" s="5">
        <v>19</v>
      </c>
      <c r="G184" s="5" t="s">
        <v>431</v>
      </c>
      <c r="H184" s="5" t="s">
        <v>431</v>
      </c>
      <c r="I184" s="5">
        <v>85</v>
      </c>
      <c r="J184" s="10">
        <f t="shared" si="5"/>
        <v>1</v>
      </c>
      <c r="K184" s="14" t="s">
        <v>654</v>
      </c>
      <c r="L184" s="12">
        <f t="shared" si="4"/>
        <v>1</v>
      </c>
    </row>
    <row r="185" spans="1:12" x14ac:dyDescent="0.3">
      <c r="A185" s="5">
        <v>2</v>
      </c>
      <c r="B185" s="5">
        <v>5</v>
      </c>
      <c r="C185" s="5">
        <v>22.831</v>
      </c>
      <c r="D185" s="5">
        <v>31.413</v>
      </c>
      <c r="E185" s="5">
        <v>34.39</v>
      </c>
      <c r="F185" s="5">
        <v>3</v>
      </c>
      <c r="G185" s="5" t="s">
        <v>431</v>
      </c>
      <c r="H185" s="5" t="s">
        <v>431</v>
      </c>
      <c r="I185" s="5">
        <v>70</v>
      </c>
      <c r="J185" s="10">
        <f t="shared" si="5"/>
        <v>1</v>
      </c>
      <c r="K185" s="14" t="s">
        <v>662</v>
      </c>
      <c r="L185" s="12">
        <f t="shared" si="4"/>
        <v>1</v>
      </c>
    </row>
    <row r="186" spans="1:12" x14ac:dyDescent="0.3">
      <c r="A186" s="5">
        <v>2</v>
      </c>
      <c r="B186" s="5">
        <v>5</v>
      </c>
      <c r="C186" s="5">
        <v>10.185</v>
      </c>
      <c r="D186" s="5">
        <v>20.61</v>
      </c>
      <c r="E186" s="5">
        <v>42.298999999999999</v>
      </c>
      <c r="F186" s="5">
        <v>2</v>
      </c>
      <c r="G186" s="5" t="s">
        <v>431</v>
      </c>
      <c r="H186" s="5" t="s">
        <v>431</v>
      </c>
      <c r="I186" s="5">
        <v>50</v>
      </c>
      <c r="J186" s="10">
        <f t="shared" si="5"/>
        <v>1</v>
      </c>
      <c r="K186" s="14" t="s">
        <v>670</v>
      </c>
      <c r="L186" s="12">
        <f t="shared" si="4"/>
        <v>1</v>
      </c>
    </row>
    <row r="187" spans="1:12" x14ac:dyDescent="0.3">
      <c r="A187" s="5">
        <v>2</v>
      </c>
      <c r="B187" s="5">
        <v>5</v>
      </c>
      <c r="C187" s="5">
        <v>56.003</v>
      </c>
      <c r="D187" s="5">
        <v>56.003</v>
      </c>
      <c r="E187" s="5">
        <v>57.34</v>
      </c>
      <c r="F187" s="5">
        <v>1</v>
      </c>
      <c r="G187" s="5" t="s">
        <v>431</v>
      </c>
      <c r="H187" s="5" t="s">
        <v>431</v>
      </c>
      <c r="I187" s="5">
        <v>80</v>
      </c>
      <c r="J187" s="10">
        <f t="shared" si="5"/>
        <v>1</v>
      </c>
      <c r="K187" s="14" t="s">
        <v>678</v>
      </c>
      <c r="L187" s="12">
        <f t="shared" si="4"/>
        <v>1</v>
      </c>
    </row>
    <row r="188" spans="1:12" x14ac:dyDescent="0.3">
      <c r="A188" s="5">
        <v>2</v>
      </c>
      <c r="B188" s="5">
        <v>5</v>
      </c>
      <c r="C188" s="5">
        <v>29.048999999999999</v>
      </c>
      <c r="D188" s="5">
        <v>56.664000000000001</v>
      </c>
      <c r="E188" s="5">
        <v>57.33</v>
      </c>
      <c r="F188" s="5">
        <v>2</v>
      </c>
      <c r="G188" s="5" t="s">
        <v>431</v>
      </c>
      <c r="H188" s="5" t="s">
        <v>431</v>
      </c>
      <c r="I188" s="5">
        <v>75</v>
      </c>
      <c r="J188" s="10">
        <f t="shared" si="5"/>
        <v>1</v>
      </c>
      <c r="K188" s="14" t="s">
        <v>686</v>
      </c>
      <c r="L188" s="12">
        <f t="shared" si="4"/>
        <v>1</v>
      </c>
    </row>
    <row r="189" spans="1:12" x14ac:dyDescent="0.3">
      <c r="A189" s="5">
        <v>2</v>
      </c>
      <c r="B189" s="5">
        <v>5</v>
      </c>
      <c r="C189" s="5">
        <v>10.579000000000001</v>
      </c>
      <c r="D189" s="5">
        <v>10.579000000000001</v>
      </c>
      <c r="E189" s="5">
        <v>17.724</v>
      </c>
      <c r="F189" s="5">
        <v>1</v>
      </c>
      <c r="G189" s="5" t="s">
        <v>431</v>
      </c>
      <c r="H189" s="5" t="s">
        <v>431</v>
      </c>
      <c r="I189" s="5">
        <v>66</v>
      </c>
      <c r="J189" s="10">
        <f t="shared" si="5"/>
        <v>1</v>
      </c>
      <c r="K189" s="14" t="s">
        <v>694</v>
      </c>
      <c r="L189" s="12">
        <f t="shared" si="4"/>
        <v>1</v>
      </c>
    </row>
    <row r="190" spans="1:12" x14ac:dyDescent="0.3">
      <c r="A190" s="5">
        <v>2</v>
      </c>
      <c r="B190" s="5">
        <v>5</v>
      </c>
      <c r="C190" s="5">
        <v>20.207000000000001</v>
      </c>
      <c r="D190" s="5">
        <v>27.599</v>
      </c>
      <c r="E190" s="5">
        <v>28.763999999999999</v>
      </c>
      <c r="F190" s="5">
        <v>3</v>
      </c>
      <c r="G190" s="5" t="s">
        <v>431</v>
      </c>
      <c r="H190" s="5" t="s">
        <v>431</v>
      </c>
      <c r="I190" s="5">
        <v>67</v>
      </c>
      <c r="J190" s="10">
        <f t="shared" si="5"/>
        <v>1</v>
      </c>
      <c r="K190" s="14" t="s">
        <v>702</v>
      </c>
      <c r="L190" s="12">
        <f t="shared" si="4"/>
        <v>1</v>
      </c>
    </row>
    <row r="191" spans="1:12" x14ac:dyDescent="0.3">
      <c r="A191" s="5">
        <v>2</v>
      </c>
      <c r="B191" s="5">
        <v>5</v>
      </c>
      <c r="C191" s="5">
        <v>10.964</v>
      </c>
      <c r="D191" s="5">
        <v>58.287999999999997</v>
      </c>
      <c r="E191" s="5">
        <v>59.374000000000002</v>
      </c>
      <c r="F191" s="5">
        <v>4</v>
      </c>
      <c r="G191" s="5" t="s">
        <v>434</v>
      </c>
      <c r="H191" s="5" t="s">
        <v>431</v>
      </c>
      <c r="I191" s="5">
        <v>100</v>
      </c>
      <c r="J191" s="10">
        <f t="shared" si="5"/>
        <v>1</v>
      </c>
      <c r="K191" s="14" t="s">
        <v>709</v>
      </c>
      <c r="L191" s="12">
        <f t="shared" si="4"/>
        <v>0</v>
      </c>
    </row>
    <row r="192" spans="1:12" x14ac:dyDescent="0.3">
      <c r="A192" s="5">
        <v>2</v>
      </c>
      <c r="B192" s="5">
        <v>5</v>
      </c>
      <c r="C192" s="5">
        <v>12.157</v>
      </c>
      <c r="D192" s="5">
        <v>37.957999999999998</v>
      </c>
      <c r="E192" s="5">
        <v>47.304000000000002</v>
      </c>
      <c r="F192" s="5">
        <v>2</v>
      </c>
      <c r="G192" s="5" t="s">
        <v>431</v>
      </c>
      <c r="H192" s="5" t="s">
        <v>431</v>
      </c>
      <c r="I192" s="5">
        <v>90</v>
      </c>
      <c r="J192" s="10">
        <f t="shared" si="5"/>
        <v>1</v>
      </c>
      <c r="K192" s="14" t="s">
        <v>717</v>
      </c>
      <c r="L192" s="12">
        <f t="shared" si="4"/>
        <v>1</v>
      </c>
    </row>
    <row r="193" spans="1:12" x14ac:dyDescent="0.3">
      <c r="A193" s="5">
        <v>2</v>
      </c>
      <c r="B193" s="5">
        <v>5</v>
      </c>
      <c r="C193" s="5">
        <v>13.378</v>
      </c>
      <c r="D193" s="5">
        <v>13.378</v>
      </c>
      <c r="E193" s="5">
        <v>20.478999999999999</v>
      </c>
      <c r="F193" s="5">
        <v>1</v>
      </c>
      <c r="G193" s="5" t="s">
        <v>431</v>
      </c>
      <c r="H193" s="5" t="s">
        <v>431</v>
      </c>
      <c r="I193" s="5">
        <v>80</v>
      </c>
      <c r="J193" s="10">
        <f t="shared" si="5"/>
        <v>0</v>
      </c>
      <c r="K193" s="14"/>
      <c r="L193" s="12">
        <f t="shared" si="4"/>
        <v>1</v>
      </c>
    </row>
    <row r="194" spans="1:12" x14ac:dyDescent="0.3">
      <c r="A194" s="5">
        <v>2</v>
      </c>
      <c r="B194" s="5">
        <v>5</v>
      </c>
      <c r="C194" s="5">
        <v>11.789</v>
      </c>
      <c r="D194" s="5">
        <v>79.894000000000005</v>
      </c>
      <c r="E194" s="5">
        <v>80.974000000000004</v>
      </c>
      <c r="F194" s="5">
        <v>2</v>
      </c>
      <c r="G194" s="5" t="s">
        <v>434</v>
      </c>
      <c r="H194" s="18" t="s">
        <v>431</v>
      </c>
      <c r="I194" s="5">
        <v>93</v>
      </c>
      <c r="J194" s="10">
        <v>1</v>
      </c>
      <c r="K194" s="5" t="s">
        <v>1213</v>
      </c>
      <c r="L194" s="12">
        <f t="shared" si="4"/>
        <v>0</v>
      </c>
    </row>
    <row r="195" spans="1:12" x14ac:dyDescent="0.3">
      <c r="A195" s="5">
        <v>2</v>
      </c>
      <c r="B195" s="5">
        <v>6</v>
      </c>
      <c r="C195" s="5">
        <v>18.760000000000002</v>
      </c>
      <c r="D195" s="5">
        <v>106.672</v>
      </c>
      <c r="E195" s="5">
        <v>108.758</v>
      </c>
      <c r="F195" s="5">
        <v>5</v>
      </c>
      <c r="G195" s="5" t="s">
        <v>431</v>
      </c>
      <c r="H195" s="5" t="s">
        <v>431</v>
      </c>
      <c r="I195" s="5">
        <v>85</v>
      </c>
      <c r="J195" s="10">
        <f t="shared" si="5"/>
        <v>1</v>
      </c>
      <c r="K195" s="14" t="s">
        <v>644</v>
      </c>
      <c r="L195" s="12">
        <f t="shared" si="4"/>
        <v>1</v>
      </c>
    </row>
    <row r="196" spans="1:12" x14ac:dyDescent="0.3">
      <c r="A196" s="5">
        <v>2</v>
      </c>
      <c r="B196" s="5">
        <v>6</v>
      </c>
      <c r="C196" s="5">
        <v>1.0469999999999999</v>
      </c>
      <c r="D196" s="5">
        <v>211.40100000000001</v>
      </c>
      <c r="E196" s="5">
        <v>216.273</v>
      </c>
      <c r="F196" s="5">
        <v>16</v>
      </c>
      <c r="G196" s="5" t="s">
        <v>434</v>
      </c>
      <c r="H196" s="5" t="s">
        <v>431</v>
      </c>
      <c r="I196" s="5">
        <v>77</v>
      </c>
      <c r="J196" s="10">
        <f t="shared" si="5"/>
        <v>0</v>
      </c>
      <c r="K196" s="14"/>
      <c r="L196" s="12">
        <f t="shared" si="4"/>
        <v>0</v>
      </c>
    </row>
    <row r="197" spans="1:12" x14ac:dyDescent="0.3">
      <c r="A197" s="5">
        <v>2</v>
      </c>
      <c r="B197" s="5">
        <v>6</v>
      </c>
      <c r="C197" s="5">
        <v>29.995000000000001</v>
      </c>
      <c r="D197" s="5">
        <v>29.995000000000001</v>
      </c>
      <c r="E197" s="5">
        <v>43.838000000000001</v>
      </c>
      <c r="F197" s="5">
        <v>1</v>
      </c>
      <c r="G197" s="5" t="s">
        <v>431</v>
      </c>
      <c r="H197" s="5" t="s">
        <v>431</v>
      </c>
      <c r="I197" s="5">
        <v>19</v>
      </c>
      <c r="J197" s="10">
        <f t="shared" si="5"/>
        <v>1</v>
      </c>
      <c r="K197" s="14" t="s">
        <v>655</v>
      </c>
      <c r="L197" s="12">
        <f t="shared" si="4"/>
        <v>1</v>
      </c>
    </row>
    <row r="198" spans="1:12" x14ac:dyDescent="0.3">
      <c r="A198" s="5">
        <v>2</v>
      </c>
      <c r="B198" s="5">
        <v>6</v>
      </c>
      <c r="C198" s="5">
        <v>24.704999999999998</v>
      </c>
      <c r="D198" s="5">
        <v>34.475999999999999</v>
      </c>
      <c r="E198" s="5">
        <v>42.433</v>
      </c>
      <c r="F198" s="5">
        <v>4</v>
      </c>
      <c r="G198" s="5" t="s">
        <v>434</v>
      </c>
      <c r="H198" s="5" t="s">
        <v>431</v>
      </c>
      <c r="I198" s="5">
        <v>100</v>
      </c>
      <c r="J198" s="10">
        <f t="shared" si="5"/>
        <v>1</v>
      </c>
      <c r="K198" s="14" t="s">
        <v>663</v>
      </c>
      <c r="L198" s="12">
        <f t="shared" si="4"/>
        <v>0</v>
      </c>
    </row>
    <row r="199" spans="1:12" x14ac:dyDescent="0.3">
      <c r="A199" s="5">
        <v>2</v>
      </c>
      <c r="B199" s="5">
        <v>6</v>
      </c>
      <c r="C199" s="5">
        <v>47.761000000000003</v>
      </c>
      <c r="D199" s="5">
        <v>47.761000000000003</v>
      </c>
      <c r="E199" s="5">
        <v>57.774999999999999</v>
      </c>
      <c r="F199" s="5">
        <v>1</v>
      </c>
      <c r="G199" s="5" t="s">
        <v>434</v>
      </c>
      <c r="H199" s="5" t="s">
        <v>431</v>
      </c>
      <c r="I199" s="5">
        <v>50</v>
      </c>
      <c r="J199" s="10">
        <f t="shared" si="5"/>
        <v>1</v>
      </c>
      <c r="K199" s="14" t="s">
        <v>671</v>
      </c>
      <c r="L199" s="12">
        <f t="shared" ref="L199:L269" si="6">IF(G199=H199, 1, 0)</f>
        <v>0</v>
      </c>
    </row>
    <row r="200" spans="1:12" x14ac:dyDescent="0.3">
      <c r="A200" s="5">
        <v>2</v>
      </c>
      <c r="B200" s="5">
        <v>6</v>
      </c>
      <c r="C200" s="5">
        <v>35.070999999999998</v>
      </c>
      <c r="D200" s="5">
        <v>35.070999999999998</v>
      </c>
      <c r="E200" s="5">
        <v>37.476999999999997</v>
      </c>
      <c r="F200" s="5">
        <v>1</v>
      </c>
      <c r="G200" s="5" t="s">
        <v>431</v>
      </c>
      <c r="H200" s="5" t="s">
        <v>431</v>
      </c>
      <c r="I200" s="5">
        <v>50</v>
      </c>
      <c r="J200" s="10">
        <f t="shared" ref="J200:J270" si="7">IF(ISBLANK(K200), 0, 1)</f>
        <v>1</v>
      </c>
      <c r="K200" s="14" t="s">
        <v>679</v>
      </c>
      <c r="L200" s="12">
        <f t="shared" si="6"/>
        <v>1</v>
      </c>
    </row>
    <row r="201" spans="1:12" x14ac:dyDescent="0.3">
      <c r="A201" s="5">
        <v>2</v>
      </c>
      <c r="B201" s="5">
        <v>6</v>
      </c>
      <c r="C201" s="5">
        <v>1.9670000000000001</v>
      </c>
      <c r="D201" s="5">
        <v>29.382000000000001</v>
      </c>
      <c r="E201" s="5">
        <v>29.960999999999999</v>
      </c>
      <c r="F201" s="5">
        <v>4</v>
      </c>
      <c r="G201" s="5" t="s">
        <v>434</v>
      </c>
      <c r="H201" s="5" t="s">
        <v>431</v>
      </c>
      <c r="I201" s="5">
        <v>100</v>
      </c>
      <c r="J201" s="10">
        <f t="shared" si="7"/>
        <v>1</v>
      </c>
      <c r="K201" s="14" t="s">
        <v>687</v>
      </c>
      <c r="L201" s="12">
        <f t="shared" si="6"/>
        <v>0</v>
      </c>
    </row>
    <row r="202" spans="1:12" x14ac:dyDescent="0.3">
      <c r="A202" s="5">
        <v>2</v>
      </c>
      <c r="B202" s="5">
        <v>6</v>
      </c>
      <c r="C202" s="5">
        <v>62.314</v>
      </c>
      <c r="D202" s="5">
        <v>62.314</v>
      </c>
      <c r="E202" s="5">
        <v>63.152999999999999</v>
      </c>
      <c r="F202" s="5">
        <v>1</v>
      </c>
      <c r="G202" s="5" t="s">
        <v>434</v>
      </c>
      <c r="H202" s="5" t="s">
        <v>431</v>
      </c>
      <c r="I202" s="5">
        <v>60</v>
      </c>
      <c r="J202" s="10">
        <f t="shared" si="7"/>
        <v>1</v>
      </c>
      <c r="K202" s="14" t="s">
        <v>695</v>
      </c>
      <c r="L202" s="12">
        <f t="shared" si="6"/>
        <v>0</v>
      </c>
    </row>
    <row r="203" spans="1:12" x14ac:dyDescent="0.3">
      <c r="A203" s="5">
        <v>2</v>
      </c>
      <c r="B203" s="5">
        <v>6</v>
      </c>
      <c r="C203" s="5">
        <v>0.85</v>
      </c>
      <c r="D203" s="5">
        <v>27.013000000000002</v>
      </c>
      <c r="E203" s="5">
        <v>28.001999999999999</v>
      </c>
      <c r="F203" s="5">
        <v>3</v>
      </c>
      <c r="G203" s="5" t="s">
        <v>431</v>
      </c>
      <c r="H203" s="5" t="s">
        <v>431</v>
      </c>
      <c r="I203" s="5">
        <v>76</v>
      </c>
      <c r="J203" s="10">
        <f t="shared" si="7"/>
        <v>1</v>
      </c>
      <c r="K203" s="14" t="s">
        <v>703</v>
      </c>
      <c r="L203" s="12">
        <f t="shared" si="6"/>
        <v>1</v>
      </c>
    </row>
    <row r="204" spans="1:12" x14ac:dyDescent="0.3">
      <c r="A204" s="5">
        <v>2</v>
      </c>
      <c r="B204" s="5">
        <v>6</v>
      </c>
      <c r="C204" s="5">
        <v>10.987</v>
      </c>
      <c r="D204" s="5">
        <v>122.63800000000001</v>
      </c>
      <c r="E204" s="5">
        <v>123.964</v>
      </c>
      <c r="F204" s="5">
        <v>10</v>
      </c>
      <c r="G204" s="5" t="s">
        <v>434</v>
      </c>
      <c r="H204" s="5" t="s">
        <v>431</v>
      </c>
      <c r="I204" s="5">
        <v>100</v>
      </c>
      <c r="J204" s="10">
        <f t="shared" si="7"/>
        <v>1</v>
      </c>
      <c r="K204" s="14" t="s">
        <v>710</v>
      </c>
      <c r="L204" s="12">
        <f t="shared" si="6"/>
        <v>0</v>
      </c>
    </row>
    <row r="205" spans="1:12" x14ac:dyDescent="0.3">
      <c r="A205" s="5">
        <v>2</v>
      </c>
      <c r="B205" s="5">
        <v>6</v>
      </c>
      <c r="C205" s="5">
        <v>30.890999999999998</v>
      </c>
      <c r="D205" s="5">
        <v>31.451000000000001</v>
      </c>
      <c r="E205" s="5">
        <v>39.47</v>
      </c>
      <c r="F205" s="5">
        <v>2</v>
      </c>
      <c r="G205" s="5" t="s">
        <v>434</v>
      </c>
      <c r="H205" s="5" t="s">
        <v>431</v>
      </c>
      <c r="I205" s="5">
        <v>90</v>
      </c>
      <c r="J205" s="10">
        <f t="shared" si="7"/>
        <v>1</v>
      </c>
      <c r="K205" s="14" t="s">
        <v>718</v>
      </c>
      <c r="L205" s="12">
        <f t="shared" si="6"/>
        <v>0</v>
      </c>
    </row>
    <row r="206" spans="1:12" x14ac:dyDescent="0.3">
      <c r="A206" s="5">
        <v>2</v>
      </c>
      <c r="B206" s="5">
        <v>6</v>
      </c>
      <c r="C206" s="5">
        <v>103.184</v>
      </c>
      <c r="D206" s="5">
        <v>103.184</v>
      </c>
      <c r="E206" s="5">
        <v>105.85899999999999</v>
      </c>
      <c r="F206" s="5">
        <v>1</v>
      </c>
      <c r="G206" s="5" t="s">
        <v>431</v>
      </c>
      <c r="H206" s="5" t="s">
        <v>431</v>
      </c>
      <c r="I206" s="5">
        <v>92</v>
      </c>
      <c r="J206" s="10">
        <f t="shared" si="7"/>
        <v>0</v>
      </c>
      <c r="K206" s="14"/>
      <c r="L206" s="12">
        <f t="shared" si="6"/>
        <v>1</v>
      </c>
    </row>
    <row r="207" spans="1:12" x14ac:dyDescent="0.3">
      <c r="A207" s="5">
        <v>2</v>
      </c>
      <c r="B207" s="5">
        <v>6</v>
      </c>
      <c r="C207" s="5">
        <v>11.254</v>
      </c>
      <c r="D207" s="5">
        <v>44.503999999999998</v>
      </c>
      <c r="E207" s="5">
        <v>45.225000000000001</v>
      </c>
      <c r="F207" s="5">
        <v>2</v>
      </c>
      <c r="G207" s="5" t="s">
        <v>431</v>
      </c>
      <c r="H207" s="5" t="s">
        <v>431</v>
      </c>
      <c r="I207" s="5">
        <v>91</v>
      </c>
      <c r="J207" s="10">
        <v>1</v>
      </c>
      <c r="K207" s="5" t="s">
        <v>1214</v>
      </c>
      <c r="L207" s="12">
        <f t="shared" si="6"/>
        <v>1</v>
      </c>
    </row>
    <row r="208" spans="1:12" x14ac:dyDescent="0.3">
      <c r="A208" s="5">
        <v>2</v>
      </c>
      <c r="B208" s="5">
        <v>7</v>
      </c>
      <c r="C208" s="5">
        <v>32.445999999999998</v>
      </c>
      <c r="D208" s="5">
        <v>32.445999999999998</v>
      </c>
      <c r="E208" s="5">
        <v>87.34</v>
      </c>
      <c r="F208" s="5">
        <v>1</v>
      </c>
      <c r="G208" s="5" t="s">
        <v>431</v>
      </c>
      <c r="H208" s="5" t="s">
        <v>434</v>
      </c>
      <c r="I208" s="5">
        <v>90</v>
      </c>
      <c r="J208" s="10">
        <f t="shared" si="7"/>
        <v>1</v>
      </c>
      <c r="K208" s="14" t="s">
        <v>645</v>
      </c>
      <c r="L208" s="12">
        <f t="shared" si="6"/>
        <v>0</v>
      </c>
    </row>
    <row r="209" spans="1:12" x14ac:dyDescent="0.3">
      <c r="A209" s="5">
        <v>2</v>
      </c>
      <c r="B209" s="5">
        <v>7</v>
      </c>
      <c r="C209" s="5">
        <v>0.70899999999999996</v>
      </c>
      <c r="D209" s="5">
        <v>60.66</v>
      </c>
      <c r="E209" s="5">
        <v>62.820999999999998</v>
      </c>
      <c r="F209" s="5">
        <v>5</v>
      </c>
      <c r="G209" s="5" t="s">
        <v>434</v>
      </c>
      <c r="H209" s="5" t="s">
        <v>434</v>
      </c>
      <c r="I209" s="5">
        <v>80</v>
      </c>
      <c r="J209" s="10">
        <f t="shared" si="7"/>
        <v>0</v>
      </c>
      <c r="K209" s="14"/>
      <c r="L209" s="12">
        <f t="shared" si="6"/>
        <v>1</v>
      </c>
    </row>
    <row r="210" spans="1:12" x14ac:dyDescent="0.3">
      <c r="A210" s="5">
        <v>2</v>
      </c>
      <c r="B210" s="5">
        <v>7</v>
      </c>
      <c r="C210" s="5">
        <v>14.225</v>
      </c>
      <c r="D210" s="5">
        <v>14.225</v>
      </c>
      <c r="E210" s="5">
        <v>17.620999999999999</v>
      </c>
      <c r="F210" s="5">
        <v>1</v>
      </c>
      <c r="G210" s="5" t="s">
        <v>431</v>
      </c>
      <c r="H210" s="5" t="s">
        <v>434</v>
      </c>
      <c r="I210" s="5">
        <v>100</v>
      </c>
      <c r="J210" s="10">
        <f t="shared" si="7"/>
        <v>1</v>
      </c>
      <c r="K210" s="14" t="s">
        <v>656</v>
      </c>
      <c r="L210" s="12">
        <f t="shared" si="6"/>
        <v>0</v>
      </c>
    </row>
    <row r="211" spans="1:12" x14ac:dyDescent="0.3">
      <c r="A211" s="5">
        <v>2</v>
      </c>
      <c r="B211" s="5">
        <v>7</v>
      </c>
      <c r="C211" s="5">
        <v>2.4049999999999998</v>
      </c>
      <c r="D211" s="5">
        <v>6.82</v>
      </c>
      <c r="E211" s="5">
        <v>25.277999999999999</v>
      </c>
      <c r="F211" s="5">
        <v>5</v>
      </c>
      <c r="G211" s="5" t="s">
        <v>434</v>
      </c>
      <c r="H211" s="5" t="s">
        <v>434</v>
      </c>
      <c r="I211" s="5">
        <v>80</v>
      </c>
      <c r="J211" s="10">
        <f t="shared" si="7"/>
        <v>1</v>
      </c>
      <c r="K211" s="14" t="s">
        <v>664</v>
      </c>
      <c r="L211" s="12">
        <f t="shared" si="6"/>
        <v>1</v>
      </c>
    </row>
    <row r="212" spans="1:12" x14ac:dyDescent="0.3">
      <c r="A212" s="5">
        <v>2</v>
      </c>
      <c r="B212" s="5">
        <v>7</v>
      </c>
      <c r="C212" s="5">
        <v>42.985999999999997</v>
      </c>
      <c r="D212" s="5">
        <v>42.985999999999997</v>
      </c>
      <c r="E212" s="5">
        <v>50.478000000000002</v>
      </c>
      <c r="F212" s="5">
        <v>1</v>
      </c>
      <c r="G212" s="5" t="s">
        <v>431</v>
      </c>
      <c r="H212" s="5" t="s">
        <v>434</v>
      </c>
      <c r="I212" s="5">
        <v>60</v>
      </c>
      <c r="J212" s="10">
        <f t="shared" si="7"/>
        <v>1</v>
      </c>
      <c r="K212" s="14" t="s">
        <v>672</v>
      </c>
      <c r="L212" s="12">
        <f t="shared" si="6"/>
        <v>0</v>
      </c>
    </row>
    <row r="213" spans="1:12" x14ac:dyDescent="0.3">
      <c r="A213" s="5">
        <v>2</v>
      </c>
      <c r="B213" s="5">
        <v>7</v>
      </c>
      <c r="C213" s="5">
        <v>60.344000000000001</v>
      </c>
      <c r="D213" s="5">
        <v>60.344000000000001</v>
      </c>
      <c r="E213" s="5">
        <v>61.780999999999999</v>
      </c>
      <c r="F213" s="5">
        <v>1</v>
      </c>
      <c r="G213" s="5" t="s">
        <v>431</v>
      </c>
      <c r="H213" s="5" t="s">
        <v>434</v>
      </c>
      <c r="I213" s="5">
        <v>90</v>
      </c>
      <c r="J213" s="10">
        <f t="shared" si="7"/>
        <v>1</v>
      </c>
      <c r="K213" s="14" t="s">
        <v>680</v>
      </c>
      <c r="L213" s="12">
        <f t="shared" si="6"/>
        <v>0</v>
      </c>
    </row>
    <row r="214" spans="1:12" x14ac:dyDescent="0.3">
      <c r="A214" s="5">
        <v>2</v>
      </c>
      <c r="B214" s="5">
        <v>7</v>
      </c>
      <c r="C214" s="5">
        <v>2.0699999999999998</v>
      </c>
      <c r="D214" s="5">
        <v>20.207000000000001</v>
      </c>
      <c r="E214" s="5">
        <v>21.145</v>
      </c>
      <c r="F214" s="5">
        <v>2</v>
      </c>
      <c r="G214" s="5" t="s">
        <v>431</v>
      </c>
      <c r="H214" s="5" t="s">
        <v>434</v>
      </c>
      <c r="I214" s="5">
        <v>80</v>
      </c>
      <c r="J214" s="10">
        <f t="shared" si="7"/>
        <v>1</v>
      </c>
      <c r="K214" s="14" t="s">
        <v>688</v>
      </c>
      <c r="L214" s="12">
        <f t="shared" si="6"/>
        <v>0</v>
      </c>
    </row>
    <row r="215" spans="1:12" x14ac:dyDescent="0.3">
      <c r="A215" s="5">
        <v>2</v>
      </c>
      <c r="B215" s="5">
        <v>7</v>
      </c>
      <c r="C215" s="5">
        <v>10.634</v>
      </c>
      <c r="D215" s="5">
        <v>10.634</v>
      </c>
      <c r="E215" s="5">
        <v>14.667</v>
      </c>
      <c r="F215" s="5">
        <v>1</v>
      </c>
      <c r="G215" s="5" t="s">
        <v>434</v>
      </c>
      <c r="H215" s="5" t="s">
        <v>434</v>
      </c>
      <c r="I215" s="5">
        <v>80</v>
      </c>
      <c r="J215" s="10">
        <f t="shared" si="7"/>
        <v>1</v>
      </c>
      <c r="K215" s="14" t="s">
        <v>696</v>
      </c>
      <c r="L215" s="12">
        <f t="shared" si="6"/>
        <v>1</v>
      </c>
    </row>
    <row r="216" spans="1:12" x14ac:dyDescent="0.3">
      <c r="A216" s="5">
        <v>2</v>
      </c>
      <c r="B216" s="5">
        <v>7</v>
      </c>
      <c r="C216" s="5">
        <v>1.2969999999999999</v>
      </c>
      <c r="D216" s="5">
        <v>36.512999999999998</v>
      </c>
      <c r="E216" s="5">
        <v>37.619999999999997</v>
      </c>
      <c r="F216" s="5">
        <v>2</v>
      </c>
      <c r="G216" s="5" t="s">
        <v>434</v>
      </c>
      <c r="H216" s="5" t="s">
        <v>434</v>
      </c>
      <c r="I216" s="5">
        <v>64</v>
      </c>
      <c r="J216" s="10">
        <f t="shared" si="7"/>
        <v>1</v>
      </c>
      <c r="K216" s="14" t="s">
        <v>704</v>
      </c>
      <c r="L216" s="12">
        <f t="shared" si="6"/>
        <v>1</v>
      </c>
    </row>
    <row r="217" spans="1:12" x14ac:dyDescent="0.3">
      <c r="A217" s="5">
        <v>2</v>
      </c>
      <c r="B217" s="5">
        <v>7</v>
      </c>
      <c r="C217" s="5">
        <v>7.968</v>
      </c>
      <c r="D217" s="5">
        <v>54.731999999999999</v>
      </c>
      <c r="E217" s="5">
        <v>55.917000000000002</v>
      </c>
      <c r="F217" s="5">
        <v>3</v>
      </c>
      <c r="G217" s="5" t="s">
        <v>434</v>
      </c>
      <c r="H217" s="5" t="s">
        <v>434</v>
      </c>
      <c r="I217" s="5">
        <v>100</v>
      </c>
      <c r="J217" s="10">
        <f t="shared" si="7"/>
        <v>1</v>
      </c>
      <c r="K217" s="14" t="s">
        <v>711</v>
      </c>
      <c r="L217" s="12">
        <f t="shared" si="6"/>
        <v>1</v>
      </c>
    </row>
    <row r="218" spans="1:12" x14ac:dyDescent="0.3">
      <c r="A218" s="5">
        <v>2</v>
      </c>
      <c r="B218" s="5">
        <v>7</v>
      </c>
      <c r="C218" s="5">
        <v>22.678000000000001</v>
      </c>
      <c r="D218" s="5">
        <v>133.92699999999999</v>
      </c>
      <c r="E218" s="5">
        <v>134.60300000000001</v>
      </c>
      <c r="F218" s="5">
        <v>6</v>
      </c>
      <c r="G218" s="5" t="s">
        <v>431</v>
      </c>
      <c r="H218" s="5" t="s">
        <v>434</v>
      </c>
      <c r="I218" s="5">
        <v>80</v>
      </c>
      <c r="J218" s="10">
        <f t="shared" si="7"/>
        <v>1</v>
      </c>
      <c r="K218" s="14" t="s">
        <v>719</v>
      </c>
      <c r="L218" s="12">
        <f t="shared" si="6"/>
        <v>0</v>
      </c>
    </row>
    <row r="219" spans="1:12" x14ac:dyDescent="0.3">
      <c r="A219" s="5">
        <v>2</v>
      </c>
      <c r="B219" s="5">
        <v>7</v>
      </c>
      <c r="C219" s="5">
        <v>132.58000000000001</v>
      </c>
      <c r="D219" s="5">
        <v>132.58000000000001</v>
      </c>
      <c r="E219" s="5">
        <v>134.55500000000001</v>
      </c>
      <c r="F219" s="5">
        <v>1</v>
      </c>
      <c r="G219" s="5" t="s">
        <v>431</v>
      </c>
      <c r="H219" s="5" t="s">
        <v>434</v>
      </c>
      <c r="I219" s="5">
        <v>91</v>
      </c>
      <c r="J219" s="10">
        <f t="shared" si="7"/>
        <v>0</v>
      </c>
      <c r="K219" s="14"/>
      <c r="L219" s="12">
        <f t="shared" si="6"/>
        <v>0</v>
      </c>
    </row>
    <row r="220" spans="1:12" x14ac:dyDescent="0.3">
      <c r="A220" s="5">
        <v>2</v>
      </c>
      <c r="B220" s="5">
        <v>7</v>
      </c>
      <c r="C220" s="5">
        <v>70.933999999999997</v>
      </c>
      <c r="D220" s="5">
        <v>70.933999999999997</v>
      </c>
      <c r="E220" s="5">
        <v>72.241</v>
      </c>
      <c r="F220" s="5">
        <v>1</v>
      </c>
      <c r="G220" s="5" t="s">
        <v>431</v>
      </c>
      <c r="H220" s="18" t="s">
        <v>434</v>
      </c>
      <c r="I220" s="5">
        <v>91</v>
      </c>
      <c r="J220" s="10">
        <v>1</v>
      </c>
      <c r="K220" s="5" t="s">
        <v>1215</v>
      </c>
      <c r="L220" s="12">
        <f t="shared" si="6"/>
        <v>0</v>
      </c>
    </row>
    <row r="221" spans="1:12" x14ac:dyDescent="0.3">
      <c r="A221" s="5">
        <v>2</v>
      </c>
      <c r="B221" s="5">
        <v>8</v>
      </c>
      <c r="C221" s="5">
        <v>8.6310000000000002</v>
      </c>
      <c r="D221" s="5">
        <v>73.685000000000002</v>
      </c>
      <c r="E221" s="5">
        <v>75.048000000000002</v>
      </c>
      <c r="F221" s="5">
        <v>5</v>
      </c>
      <c r="G221" s="5" t="s">
        <v>434</v>
      </c>
      <c r="H221" s="5" t="s">
        <v>434</v>
      </c>
      <c r="I221" s="5">
        <v>90</v>
      </c>
      <c r="J221" s="10">
        <f t="shared" si="7"/>
        <v>1</v>
      </c>
      <c r="K221" s="14" t="s">
        <v>646</v>
      </c>
      <c r="L221" s="12">
        <f t="shared" si="6"/>
        <v>1</v>
      </c>
    </row>
    <row r="222" spans="1:12" x14ac:dyDescent="0.3">
      <c r="A222" s="5">
        <v>2</v>
      </c>
      <c r="B222" s="5">
        <v>8</v>
      </c>
      <c r="C222" s="5">
        <v>0.63400000000000001</v>
      </c>
      <c r="D222" s="5">
        <v>70.120999999999995</v>
      </c>
      <c r="E222" s="5">
        <v>70.468999999999994</v>
      </c>
      <c r="F222" s="5">
        <v>6</v>
      </c>
      <c r="G222" s="5" t="s">
        <v>434</v>
      </c>
      <c r="H222" s="5" t="s">
        <v>434</v>
      </c>
      <c r="I222" s="5">
        <v>70</v>
      </c>
      <c r="J222" s="10">
        <f t="shared" si="7"/>
        <v>0</v>
      </c>
      <c r="K222" s="14"/>
      <c r="L222" s="12">
        <f t="shared" si="6"/>
        <v>1</v>
      </c>
    </row>
    <row r="223" spans="1:12" x14ac:dyDescent="0.3">
      <c r="A223" s="5">
        <v>2</v>
      </c>
      <c r="B223" s="5">
        <v>8</v>
      </c>
      <c r="C223" s="5">
        <v>15.164999999999999</v>
      </c>
      <c r="D223" s="5">
        <v>15.164999999999999</v>
      </c>
      <c r="E223" s="5">
        <v>30.367999999999999</v>
      </c>
      <c r="F223" s="5">
        <v>1</v>
      </c>
      <c r="G223" s="5" t="s">
        <v>434</v>
      </c>
      <c r="H223" s="5" t="s">
        <v>434</v>
      </c>
      <c r="I223" s="5">
        <v>80</v>
      </c>
      <c r="J223" s="10">
        <f t="shared" si="7"/>
        <v>1</v>
      </c>
      <c r="K223" s="14" t="s">
        <v>657</v>
      </c>
      <c r="L223" s="12">
        <f t="shared" si="6"/>
        <v>1</v>
      </c>
    </row>
    <row r="224" spans="1:12" x14ac:dyDescent="0.3">
      <c r="A224" s="5">
        <v>2</v>
      </c>
      <c r="B224" s="5">
        <v>8</v>
      </c>
      <c r="C224" s="5">
        <v>4.8390000000000004</v>
      </c>
      <c r="D224" s="5">
        <v>4.8390000000000004</v>
      </c>
      <c r="E224" s="5">
        <v>34.185000000000002</v>
      </c>
      <c r="F224" s="5">
        <v>1</v>
      </c>
      <c r="G224" s="5" t="s">
        <v>431</v>
      </c>
      <c r="H224" s="5" t="s">
        <v>434</v>
      </c>
      <c r="I224" s="5">
        <v>83</v>
      </c>
      <c r="J224" s="10">
        <f t="shared" si="7"/>
        <v>1</v>
      </c>
      <c r="K224" s="14" t="s">
        <v>665</v>
      </c>
      <c r="L224" s="12">
        <f t="shared" si="6"/>
        <v>0</v>
      </c>
    </row>
    <row r="225" spans="1:12" x14ac:dyDescent="0.3">
      <c r="A225" s="5">
        <v>2</v>
      </c>
      <c r="B225" s="5">
        <v>8</v>
      </c>
      <c r="C225" s="5">
        <v>125.41200000000001</v>
      </c>
      <c r="D225" s="5">
        <v>125.41200000000001</v>
      </c>
      <c r="E225" s="5">
        <v>132.93299999999999</v>
      </c>
      <c r="F225" s="5">
        <v>1</v>
      </c>
      <c r="G225" s="5" t="s">
        <v>434</v>
      </c>
      <c r="H225" s="5" t="s">
        <v>434</v>
      </c>
      <c r="I225" s="5">
        <v>50</v>
      </c>
      <c r="J225" s="10">
        <f t="shared" si="7"/>
        <v>1</v>
      </c>
      <c r="K225" s="14" t="s">
        <v>673</v>
      </c>
      <c r="L225" s="12">
        <f t="shared" si="6"/>
        <v>1</v>
      </c>
    </row>
    <row r="226" spans="1:12" x14ac:dyDescent="0.3">
      <c r="A226" s="5">
        <v>2</v>
      </c>
      <c r="B226" s="5">
        <v>8</v>
      </c>
      <c r="C226" s="5">
        <v>63.768000000000001</v>
      </c>
      <c r="D226" s="5">
        <v>63.768000000000001</v>
      </c>
      <c r="E226" s="5">
        <v>64.756</v>
      </c>
      <c r="F226" s="5">
        <v>1</v>
      </c>
      <c r="G226" s="5" t="s">
        <v>431</v>
      </c>
      <c r="H226" s="5" t="s">
        <v>434</v>
      </c>
      <c r="I226" s="5">
        <v>70</v>
      </c>
      <c r="J226" s="10">
        <f t="shared" si="7"/>
        <v>1</v>
      </c>
      <c r="K226" s="14" t="s">
        <v>681</v>
      </c>
      <c r="L226" s="12">
        <f t="shared" si="6"/>
        <v>0</v>
      </c>
    </row>
    <row r="227" spans="1:12" x14ac:dyDescent="0.3">
      <c r="A227" s="5">
        <v>2</v>
      </c>
      <c r="B227" s="5">
        <v>8</v>
      </c>
      <c r="C227" s="5">
        <v>2.3370000000000002</v>
      </c>
      <c r="D227" s="5">
        <v>28.401</v>
      </c>
      <c r="E227" s="5">
        <v>29.539000000000001</v>
      </c>
      <c r="F227" s="5">
        <v>3</v>
      </c>
      <c r="G227" s="5" t="s">
        <v>434</v>
      </c>
      <c r="H227" s="5" t="s">
        <v>434</v>
      </c>
      <c r="I227" s="5">
        <v>92</v>
      </c>
      <c r="J227" s="10">
        <f t="shared" si="7"/>
        <v>1</v>
      </c>
      <c r="K227" s="14" t="s">
        <v>689</v>
      </c>
      <c r="L227" s="12">
        <f t="shared" si="6"/>
        <v>1</v>
      </c>
    </row>
    <row r="228" spans="1:12" x14ac:dyDescent="0.3">
      <c r="A228" s="5">
        <v>2</v>
      </c>
      <c r="B228" s="5">
        <v>8</v>
      </c>
      <c r="C228" s="5">
        <v>94.006</v>
      </c>
      <c r="D228" s="5">
        <v>94.006</v>
      </c>
      <c r="E228" s="5">
        <v>95.082999999999998</v>
      </c>
      <c r="F228" s="5">
        <v>1</v>
      </c>
      <c r="G228" s="5" t="s">
        <v>434</v>
      </c>
      <c r="H228" s="5" t="s">
        <v>434</v>
      </c>
      <c r="I228" s="5">
        <v>40</v>
      </c>
      <c r="J228" s="10">
        <f t="shared" si="7"/>
        <v>1</v>
      </c>
      <c r="K228" s="14" t="s">
        <v>697</v>
      </c>
      <c r="L228" s="12">
        <f t="shared" si="6"/>
        <v>1</v>
      </c>
    </row>
    <row r="229" spans="1:12" x14ac:dyDescent="0.3">
      <c r="A229" s="5">
        <v>2</v>
      </c>
      <c r="B229" s="5">
        <v>8</v>
      </c>
      <c r="C229" s="5">
        <v>17.256</v>
      </c>
      <c r="D229" s="5">
        <v>17.256</v>
      </c>
      <c r="E229" s="5">
        <v>19.317</v>
      </c>
      <c r="F229" s="5">
        <v>1</v>
      </c>
      <c r="G229" s="5" t="s">
        <v>431</v>
      </c>
      <c r="H229" s="5" t="s">
        <v>434</v>
      </c>
      <c r="I229" s="5">
        <v>76</v>
      </c>
      <c r="J229" s="10">
        <f t="shared" si="7"/>
        <v>1</v>
      </c>
      <c r="K229" s="14" t="s">
        <v>705</v>
      </c>
      <c r="L229" s="12">
        <f t="shared" si="6"/>
        <v>0</v>
      </c>
    </row>
    <row r="230" spans="1:12" x14ac:dyDescent="0.3">
      <c r="A230" s="5">
        <v>2</v>
      </c>
      <c r="B230" s="5">
        <v>8</v>
      </c>
      <c r="C230" s="5">
        <v>13.132</v>
      </c>
      <c r="D230" s="5">
        <v>69.081000000000003</v>
      </c>
      <c r="E230" s="5">
        <v>71.528999999999996</v>
      </c>
      <c r="F230" s="5">
        <v>8</v>
      </c>
      <c r="G230" s="5" t="s">
        <v>434</v>
      </c>
      <c r="H230" s="5" t="s">
        <v>434</v>
      </c>
      <c r="I230" s="5">
        <v>100</v>
      </c>
      <c r="J230" s="10">
        <f t="shared" si="7"/>
        <v>1</v>
      </c>
      <c r="K230" s="14" t="s">
        <v>712</v>
      </c>
      <c r="L230" s="12">
        <f t="shared" si="6"/>
        <v>1</v>
      </c>
    </row>
    <row r="231" spans="1:12" x14ac:dyDescent="0.3">
      <c r="A231" s="5">
        <v>2</v>
      </c>
      <c r="B231" s="5">
        <v>8</v>
      </c>
      <c r="C231" s="5">
        <v>44.2</v>
      </c>
      <c r="D231" s="5">
        <v>98.769000000000005</v>
      </c>
      <c r="E231" s="5">
        <v>103.92400000000001</v>
      </c>
      <c r="F231" s="5">
        <v>4</v>
      </c>
      <c r="G231" s="5" t="s">
        <v>431</v>
      </c>
      <c r="H231" s="5" t="s">
        <v>434</v>
      </c>
      <c r="I231" s="5">
        <v>90</v>
      </c>
      <c r="J231" s="10">
        <f t="shared" si="7"/>
        <v>1</v>
      </c>
      <c r="K231" s="14" t="s">
        <v>720</v>
      </c>
      <c r="L231" s="12">
        <f t="shared" si="6"/>
        <v>0</v>
      </c>
    </row>
    <row r="232" spans="1:12" x14ac:dyDescent="0.3">
      <c r="A232" s="5">
        <v>2</v>
      </c>
      <c r="B232" s="5">
        <v>8</v>
      </c>
      <c r="C232" s="5">
        <v>38.378999999999998</v>
      </c>
      <c r="D232" s="5">
        <v>38.378999999999998</v>
      </c>
      <c r="E232" s="5">
        <v>40.987000000000002</v>
      </c>
      <c r="F232" s="5">
        <v>1</v>
      </c>
      <c r="G232" s="5" t="s">
        <v>431</v>
      </c>
      <c r="H232" s="5" t="s">
        <v>434</v>
      </c>
      <c r="I232" s="5">
        <v>28</v>
      </c>
      <c r="J232" s="10">
        <f t="shared" si="7"/>
        <v>0</v>
      </c>
      <c r="K232" s="14"/>
      <c r="L232" s="12">
        <f t="shared" si="6"/>
        <v>0</v>
      </c>
    </row>
    <row r="233" spans="1:12" x14ac:dyDescent="0.3">
      <c r="A233" s="5">
        <v>2</v>
      </c>
      <c r="B233" s="5">
        <v>8</v>
      </c>
      <c r="C233" s="5">
        <v>17.437000000000001</v>
      </c>
      <c r="D233" s="5">
        <v>17.437000000000001</v>
      </c>
      <c r="E233" s="5">
        <v>31.667999999999999</v>
      </c>
      <c r="F233" s="5">
        <v>1</v>
      </c>
      <c r="G233" s="5" t="s">
        <v>434</v>
      </c>
      <c r="H233" s="5" t="s">
        <v>434</v>
      </c>
      <c r="I233" s="5">
        <v>92</v>
      </c>
      <c r="J233" s="18">
        <v>1</v>
      </c>
      <c r="K233" s="5" t="s">
        <v>1216</v>
      </c>
      <c r="L233" s="12">
        <f t="shared" si="6"/>
        <v>1</v>
      </c>
    </row>
    <row r="234" spans="1:12" x14ac:dyDescent="0.3">
      <c r="A234" s="5">
        <v>3</v>
      </c>
      <c r="B234" s="5">
        <v>1</v>
      </c>
      <c r="C234" s="5">
        <v>10.55</v>
      </c>
      <c r="D234" s="5">
        <v>10.55</v>
      </c>
      <c r="E234" s="5">
        <v>17.962</v>
      </c>
      <c r="F234" s="5">
        <v>1</v>
      </c>
      <c r="G234" s="5" t="s">
        <v>434</v>
      </c>
      <c r="H234" s="5" t="s">
        <v>431</v>
      </c>
      <c r="I234" s="5">
        <v>60</v>
      </c>
      <c r="J234" s="10">
        <f t="shared" si="7"/>
        <v>0</v>
      </c>
      <c r="K234" s="14"/>
      <c r="L234" s="12">
        <f t="shared" si="6"/>
        <v>0</v>
      </c>
    </row>
    <row r="235" spans="1:12" x14ac:dyDescent="0.3">
      <c r="A235" s="5">
        <v>3</v>
      </c>
      <c r="B235" s="5">
        <v>1</v>
      </c>
      <c r="C235" s="5">
        <v>35.167000000000002</v>
      </c>
      <c r="D235" s="5">
        <v>35.167000000000002</v>
      </c>
      <c r="E235" s="5">
        <v>36.396000000000001</v>
      </c>
      <c r="F235" s="5">
        <v>1</v>
      </c>
      <c r="G235" s="5" t="s">
        <v>434</v>
      </c>
      <c r="H235" s="5" t="s">
        <v>431</v>
      </c>
      <c r="I235" s="5">
        <v>75</v>
      </c>
      <c r="J235" s="10">
        <f t="shared" si="7"/>
        <v>1</v>
      </c>
      <c r="K235" s="14" t="s">
        <v>837</v>
      </c>
      <c r="L235" s="12">
        <f t="shared" si="6"/>
        <v>0</v>
      </c>
    </row>
    <row r="236" spans="1:12" x14ac:dyDescent="0.3">
      <c r="A236" s="5">
        <v>3</v>
      </c>
      <c r="B236" s="5">
        <v>1</v>
      </c>
      <c r="C236" s="5">
        <v>106.578</v>
      </c>
      <c r="D236" s="5">
        <v>106.578</v>
      </c>
      <c r="E236" s="5">
        <v>109.18</v>
      </c>
      <c r="F236" s="5">
        <v>1</v>
      </c>
      <c r="G236" s="5" t="s">
        <v>434</v>
      </c>
      <c r="H236" s="5" t="s">
        <v>431</v>
      </c>
      <c r="I236" s="5">
        <v>94</v>
      </c>
      <c r="J236" s="10">
        <f t="shared" si="7"/>
        <v>1</v>
      </c>
      <c r="K236" s="14" t="s">
        <v>843</v>
      </c>
      <c r="L236" s="12">
        <f t="shared" si="6"/>
        <v>0</v>
      </c>
    </row>
    <row r="237" spans="1:12" x14ac:dyDescent="0.3">
      <c r="A237" s="5">
        <v>3</v>
      </c>
      <c r="B237" s="5">
        <v>1</v>
      </c>
      <c r="C237" s="5">
        <v>12.37</v>
      </c>
      <c r="D237" s="5">
        <v>28.54</v>
      </c>
      <c r="E237" s="5">
        <v>30.378</v>
      </c>
      <c r="F237" s="5">
        <v>4</v>
      </c>
      <c r="G237" s="5" t="s">
        <v>434</v>
      </c>
      <c r="H237" s="5" t="s">
        <v>431</v>
      </c>
      <c r="I237" s="5">
        <v>62</v>
      </c>
      <c r="J237" s="10">
        <f t="shared" si="7"/>
        <v>1</v>
      </c>
      <c r="K237" s="14" t="s">
        <v>851</v>
      </c>
      <c r="L237" s="12">
        <f t="shared" si="6"/>
        <v>0</v>
      </c>
    </row>
    <row r="238" spans="1:12" x14ac:dyDescent="0.3">
      <c r="A238" s="5">
        <v>3</v>
      </c>
      <c r="B238" s="5">
        <v>1</v>
      </c>
      <c r="C238" s="5">
        <v>170.91900000000001</v>
      </c>
      <c r="D238" s="5">
        <v>170.91900000000001</v>
      </c>
      <c r="E238" s="5">
        <v>172.38499999999999</v>
      </c>
      <c r="F238" s="5">
        <v>1</v>
      </c>
      <c r="G238" s="5" t="s">
        <v>434</v>
      </c>
      <c r="H238" s="5" t="s">
        <v>431</v>
      </c>
      <c r="I238" s="5">
        <v>61</v>
      </c>
      <c r="J238" s="10">
        <f t="shared" si="7"/>
        <v>1</v>
      </c>
      <c r="K238" s="14" t="s">
        <v>859</v>
      </c>
      <c r="L238" s="12">
        <f t="shared" si="6"/>
        <v>0</v>
      </c>
    </row>
    <row r="239" spans="1:12" x14ac:dyDescent="0.3">
      <c r="A239" s="5">
        <v>3</v>
      </c>
      <c r="B239" s="5">
        <v>1</v>
      </c>
      <c r="C239" s="5">
        <v>117.27</v>
      </c>
      <c r="D239" s="5">
        <v>117.27</v>
      </c>
      <c r="E239" s="5">
        <v>118.508</v>
      </c>
      <c r="F239" s="5">
        <v>1</v>
      </c>
      <c r="G239" s="5" t="s">
        <v>431</v>
      </c>
      <c r="H239" s="5" t="s">
        <v>431</v>
      </c>
      <c r="I239" s="5">
        <v>80</v>
      </c>
      <c r="J239" s="10">
        <f t="shared" si="7"/>
        <v>1</v>
      </c>
      <c r="K239" s="14" t="s">
        <v>867</v>
      </c>
      <c r="L239" s="12">
        <f t="shared" si="6"/>
        <v>1</v>
      </c>
    </row>
    <row r="240" spans="1:12" x14ac:dyDescent="0.3">
      <c r="A240" s="5">
        <v>3</v>
      </c>
      <c r="B240" s="5">
        <v>1</v>
      </c>
      <c r="C240" s="5">
        <v>0.93200000000000005</v>
      </c>
      <c r="D240" s="5">
        <v>9.3640000000000008</v>
      </c>
      <c r="E240" s="5">
        <v>10.885999999999999</v>
      </c>
      <c r="F240" s="5">
        <v>7</v>
      </c>
      <c r="G240" s="5" t="s">
        <v>431</v>
      </c>
      <c r="H240" s="5" t="s">
        <v>431</v>
      </c>
      <c r="I240" s="5">
        <v>64</v>
      </c>
      <c r="J240" s="10">
        <f t="shared" si="7"/>
        <v>1</v>
      </c>
      <c r="K240" s="14" t="s">
        <v>872</v>
      </c>
      <c r="L240" s="12">
        <f t="shared" si="6"/>
        <v>1</v>
      </c>
    </row>
    <row r="241" spans="1:12" x14ac:dyDescent="0.3">
      <c r="A241" s="5">
        <v>3</v>
      </c>
      <c r="B241" s="5">
        <v>1</v>
      </c>
      <c r="C241" s="5">
        <v>20.277000000000001</v>
      </c>
      <c r="D241" s="5">
        <v>20.277000000000001</v>
      </c>
      <c r="E241" s="5">
        <v>21.62</v>
      </c>
      <c r="F241" s="5">
        <v>1</v>
      </c>
      <c r="G241" s="5" t="s">
        <v>431</v>
      </c>
      <c r="H241" s="5" t="s">
        <v>431</v>
      </c>
      <c r="I241" s="5">
        <v>42</v>
      </c>
      <c r="J241" s="10">
        <f t="shared" si="7"/>
        <v>1</v>
      </c>
      <c r="K241" s="14" t="s">
        <v>880</v>
      </c>
      <c r="L241" s="12">
        <f t="shared" si="6"/>
        <v>1</v>
      </c>
    </row>
    <row r="242" spans="1:12" x14ac:dyDescent="0.3">
      <c r="A242" s="5">
        <v>3</v>
      </c>
      <c r="B242" s="5">
        <v>1</v>
      </c>
      <c r="C242" s="5">
        <v>122.146</v>
      </c>
      <c r="D242" s="5">
        <v>155.803</v>
      </c>
      <c r="E242" s="5">
        <v>156.63999999999999</v>
      </c>
      <c r="F242" s="5">
        <v>2</v>
      </c>
      <c r="G242" s="5" t="s">
        <v>431</v>
      </c>
      <c r="H242" s="5" t="s">
        <v>431</v>
      </c>
      <c r="I242" s="5">
        <v>70</v>
      </c>
      <c r="J242" s="10">
        <f t="shared" si="7"/>
        <v>1</v>
      </c>
      <c r="K242" s="14" t="s">
        <v>888</v>
      </c>
      <c r="L242" s="12">
        <f t="shared" si="6"/>
        <v>1</v>
      </c>
    </row>
    <row r="243" spans="1:12" x14ac:dyDescent="0.3">
      <c r="A243" s="5">
        <v>3</v>
      </c>
      <c r="B243" s="5">
        <v>1</v>
      </c>
      <c r="C243" s="5">
        <v>26.388999999999999</v>
      </c>
      <c r="D243" s="5">
        <v>26.388999999999999</v>
      </c>
      <c r="E243" s="5">
        <v>88.843999999999994</v>
      </c>
      <c r="F243" s="5">
        <v>1</v>
      </c>
      <c r="G243" s="5" t="s">
        <v>431</v>
      </c>
      <c r="H243" s="5" t="s">
        <v>431</v>
      </c>
      <c r="I243" s="5">
        <v>100</v>
      </c>
      <c r="J243" s="10">
        <f t="shared" si="7"/>
        <v>1</v>
      </c>
      <c r="K243" s="14" t="s">
        <v>895</v>
      </c>
      <c r="L243" s="12">
        <f t="shared" si="6"/>
        <v>1</v>
      </c>
    </row>
    <row r="244" spans="1:12" x14ac:dyDescent="0.3">
      <c r="A244" s="5">
        <v>3</v>
      </c>
      <c r="B244" s="5">
        <v>1</v>
      </c>
      <c r="C244" s="5">
        <v>37.65</v>
      </c>
      <c r="D244" s="5">
        <v>37.65</v>
      </c>
      <c r="E244" s="5">
        <v>56.881999999999998</v>
      </c>
      <c r="F244" s="5">
        <v>1</v>
      </c>
      <c r="G244" s="5" t="s">
        <v>431</v>
      </c>
      <c r="H244" s="5" t="s">
        <v>431</v>
      </c>
      <c r="I244" s="5">
        <v>97</v>
      </c>
      <c r="J244" s="10">
        <f t="shared" si="7"/>
        <v>1</v>
      </c>
      <c r="K244" s="14" t="s">
        <v>903</v>
      </c>
      <c r="L244" s="12">
        <f t="shared" si="6"/>
        <v>1</v>
      </c>
    </row>
    <row r="245" spans="1:12" x14ac:dyDescent="0.3">
      <c r="A245" s="5">
        <v>3</v>
      </c>
      <c r="B245" s="5">
        <v>1</v>
      </c>
      <c r="C245" s="5">
        <v>12.856999999999999</v>
      </c>
      <c r="D245" s="5">
        <v>12.856999999999999</v>
      </c>
      <c r="E245" s="5">
        <v>13.566000000000001</v>
      </c>
      <c r="F245" s="5">
        <v>1</v>
      </c>
      <c r="G245" s="5" t="s">
        <v>434</v>
      </c>
      <c r="H245" s="5" t="s">
        <v>431</v>
      </c>
      <c r="I245" s="5">
        <v>71</v>
      </c>
      <c r="J245" s="10">
        <f t="shared" si="7"/>
        <v>0</v>
      </c>
      <c r="K245" s="14"/>
      <c r="L245" s="12">
        <f t="shared" si="6"/>
        <v>0</v>
      </c>
    </row>
    <row r="246" spans="1:12" x14ac:dyDescent="0.3">
      <c r="A246" s="5">
        <v>3</v>
      </c>
      <c r="B246" s="5">
        <v>1</v>
      </c>
      <c r="C246" s="5">
        <v>6.2220000000000004</v>
      </c>
      <c r="D246" s="5">
        <v>9.9390000000000001</v>
      </c>
      <c r="E246" s="5">
        <v>10.944000000000001</v>
      </c>
      <c r="F246" s="5">
        <v>2</v>
      </c>
      <c r="G246" s="5" t="s">
        <v>431</v>
      </c>
      <c r="H246" s="5" t="s">
        <v>431</v>
      </c>
      <c r="I246" s="5">
        <v>38</v>
      </c>
      <c r="J246" s="10">
        <f t="shared" si="7"/>
        <v>1</v>
      </c>
      <c r="K246" s="14" t="s">
        <v>1168</v>
      </c>
      <c r="L246" s="12">
        <f t="shared" si="6"/>
        <v>1</v>
      </c>
    </row>
    <row r="247" spans="1:12" x14ac:dyDescent="0.3">
      <c r="A247" s="5">
        <v>3</v>
      </c>
      <c r="B247" s="5">
        <v>1</v>
      </c>
      <c r="C247" s="5">
        <v>43.027000000000001</v>
      </c>
      <c r="D247" s="5">
        <v>225.67</v>
      </c>
      <c r="E247" s="5">
        <v>500.55399999999997</v>
      </c>
      <c r="F247" s="5">
        <v>9</v>
      </c>
      <c r="G247" s="5" t="s">
        <v>434</v>
      </c>
      <c r="H247" s="5" t="s">
        <v>431</v>
      </c>
      <c r="I247" s="5">
        <v>95</v>
      </c>
      <c r="J247" s="18">
        <v>1</v>
      </c>
      <c r="K247" s="5" t="s">
        <v>1217</v>
      </c>
      <c r="L247" s="12">
        <f t="shared" si="6"/>
        <v>0</v>
      </c>
    </row>
    <row r="248" spans="1:12" x14ac:dyDescent="0.3">
      <c r="A248" s="5">
        <v>3</v>
      </c>
      <c r="B248" s="5">
        <v>1</v>
      </c>
      <c r="C248" s="5">
        <v>58.470999999999997</v>
      </c>
      <c r="D248" s="5">
        <v>58.470999999999997</v>
      </c>
      <c r="E248" s="5">
        <v>206.489</v>
      </c>
      <c r="F248" s="5">
        <v>1</v>
      </c>
      <c r="G248" s="5" t="s">
        <v>431</v>
      </c>
      <c r="H248" s="5" t="s">
        <v>431</v>
      </c>
      <c r="I248" s="5">
        <v>92</v>
      </c>
      <c r="J248" s="18">
        <v>1</v>
      </c>
      <c r="K248" s="5" t="s">
        <v>1225</v>
      </c>
      <c r="L248" s="12">
        <f t="shared" si="6"/>
        <v>1</v>
      </c>
    </row>
    <row r="249" spans="1:12" x14ac:dyDescent="0.3">
      <c r="A249" s="5">
        <v>3</v>
      </c>
      <c r="B249" s="5">
        <v>2</v>
      </c>
      <c r="C249" s="5">
        <v>23.32</v>
      </c>
      <c r="D249" s="5">
        <v>23.32</v>
      </c>
      <c r="E249" s="5">
        <v>25.263000000000002</v>
      </c>
      <c r="F249" s="5">
        <v>1</v>
      </c>
      <c r="G249" s="5" t="s">
        <v>434</v>
      </c>
      <c r="H249" s="5" t="s">
        <v>431</v>
      </c>
      <c r="I249" s="5">
        <v>62</v>
      </c>
      <c r="J249" s="10">
        <f t="shared" si="7"/>
        <v>0</v>
      </c>
      <c r="K249" s="14"/>
      <c r="L249" s="12">
        <f t="shared" si="6"/>
        <v>0</v>
      </c>
    </row>
    <row r="250" spans="1:12" x14ac:dyDescent="0.3">
      <c r="A250" s="5">
        <v>3</v>
      </c>
      <c r="B250" s="5">
        <v>2</v>
      </c>
      <c r="C250" s="5">
        <v>47.744999999999997</v>
      </c>
      <c r="D250" s="5">
        <v>47.744999999999997</v>
      </c>
      <c r="E250" s="5">
        <v>48.816000000000003</v>
      </c>
      <c r="F250" s="5">
        <v>1</v>
      </c>
      <c r="G250" s="5" t="s">
        <v>434</v>
      </c>
      <c r="H250" s="5" t="s">
        <v>431</v>
      </c>
      <c r="I250" s="5">
        <v>60</v>
      </c>
      <c r="J250" s="10">
        <f t="shared" si="7"/>
        <v>1</v>
      </c>
      <c r="K250" s="14" t="s">
        <v>838</v>
      </c>
      <c r="L250" s="12">
        <f t="shared" si="6"/>
        <v>0</v>
      </c>
    </row>
    <row r="251" spans="1:12" x14ac:dyDescent="0.3">
      <c r="A251" s="5">
        <v>3</v>
      </c>
      <c r="B251" s="5">
        <v>2</v>
      </c>
      <c r="C251" s="5">
        <v>117.706</v>
      </c>
      <c r="D251" s="5">
        <v>117.706</v>
      </c>
      <c r="E251" s="5">
        <v>133.82499999999999</v>
      </c>
      <c r="F251" s="5">
        <v>1</v>
      </c>
      <c r="G251" s="5" t="s">
        <v>434</v>
      </c>
      <c r="H251" s="5" t="s">
        <v>431</v>
      </c>
      <c r="I251" s="5">
        <v>90</v>
      </c>
      <c r="J251" s="10">
        <f t="shared" si="7"/>
        <v>1</v>
      </c>
      <c r="K251" s="14" t="s">
        <v>844</v>
      </c>
      <c r="L251" s="12">
        <f t="shared" si="6"/>
        <v>0</v>
      </c>
    </row>
    <row r="252" spans="1:12" x14ac:dyDescent="0.3">
      <c r="A252" s="5">
        <v>3</v>
      </c>
      <c r="B252" s="5">
        <v>2</v>
      </c>
      <c r="C252" s="5">
        <v>35.835999999999999</v>
      </c>
      <c r="D252" s="5">
        <v>35.835999999999999</v>
      </c>
      <c r="E252" s="5">
        <v>37.061999999999998</v>
      </c>
      <c r="F252" s="5">
        <v>1</v>
      </c>
      <c r="G252" s="5" t="s">
        <v>431</v>
      </c>
      <c r="H252" s="5" t="s">
        <v>431</v>
      </c>
      <c r="I252" s="5">
        <v>71</v>
      </c>
      <c r="J252" s="10">
        <f t="shared" si="7"/>
        <v>1</v>
      </c>
      <c r="K252" s="14" t="s">
        <v>852</v>
      </c>
      <c r="L252" s="12">
        <f t="shared" si="6"/>
        <v>1</v>
      </c>
    </row>
    <row r="253" spans="1:12" x14ac:dyDescent="0.3">
      <c r="A253" s="5">
        <v>3</v>
      </c>
      <c r="B253" s="5">
        <v>2</v>
      </c>
      <c r="C253" s="5">
        <v>55.561</v>
      </c>
      <c r="D253" s="5">
        <v>55.561</v>
      </c>
      <c r="E253" s="5">
        <v>62.557000000000002</v>
      </c>
      <c r="F253" s="5">
        <v>1</v>
      </c>
      <c r="G253" s="5" t="s">
        <v>434</v>
      </c>
      <c r="H253" s="5" t="s">
        <v>431</v>
      </c>
      <c r="I253" s="5">
        <v>30</v>
      </c>
      <c r="J253" s="10">
        <f t="shared" si="7"/>
        <v>1</v>
      </c>
      <c r="K253" s="14" t="s">
        <v>860</v>
      </c>
      <c r="L253" s="12">
        <f t="shared" si="6"/>
        <v>0</v>
      </c>
    </row>
    <row r="254" spans="1:12" x14ac:dyDescent="0.3">
      <c r="A254" s="5">
        <v>3</v>
      </c>
      <c r="B254" s="5">
        <v>2</v>
      </c>
      <c r="C254" s="5">
        <v>131.49199999999999</v>
      </c>
      <c r="D254" s="5">
        <v>131.49199999999999</v>
      </c>
      <c r="E254" s="5">
        <v>133.995</v>
      </c>
      <c r="F254" s="5">
        <v>1</v>
      </c>
      <c r="G254" s="5" t="s">
        <v>431</v>
      </c>
      <c r="H254" s="5" t="s">
        <v>431</v>
      </c>
      <c r="I254" s="5">
        <v>70</v>
      </c>
      <c r="J254" s="10">
        <f t="shared" si="7"/>
        <v>1</v>
      </c>
      <c r="K254" s="14" t="s">
        <v>868</v>
      </c>
      <c r="L254" s="12">
        <f t="shared" si="6"/>
        <v>1</v>
      </c>
    </row>
    <row r="255" spans="1:12" x14ac:dyDescent="0.3">
      <c r="A255" s="5">
        <v>3</v>
      </c>
      <c r="B255" s="5">
        <v>2</v>
      </c>
      <c r="C255" s="5">
        <v>13.835000000000001</v>
      </c>
      <c r="D255" s="5">
        <v>14.618</v>
      </c>
      <c r="E255" s="5">
        <v>15.555999999999999</v>
      </c>
      <c r="F255" s="5">
        <v>2</v>
      </c>
      <c r="G255" s="5" t="s">
        <v>434</v>
      </c>
      <c r="H255" s="5" t="s">
        <v>431</v>
      </c>
      <c r="I255" s="5">
        <v>96</v>
      </c>
      <c r="J255" s="10">
        <f t="shared" si="7"/>
        <v>1</v>
      </c>
      <c r="K255" s="14" t="s">
        <v>873</v>
      </c>
      <c r="L255" s="12">
        <f t="shared" si="6"/>
        <v>0</v>
      </c>
    </row>
    <row r="256" spans="1:12" x14ac:dyDescent="0.3">
      <c r="A256" s="5">
        <v>3</v>
      </c>
      <c r="B256" s="5">
        <v>2</v>
      </c>
      <c r="C256" s="5">
        <v>31.387</v>
      </c>
      <c r="D256" s="5">
        <v>31.387</v>
      </c>
      <c r="E256" s="5">
        <v>32.485999999999997</v>
      </c>
      <c r="F256" s="5">
        <v>1</v>
      </c>
      <c r="G256" s="5" t="s">
        <v>434</v>
      </c>
      <c r="H256" s="5" t="s">
        <v>431</v>
      </c>
      <c r="I256" s="5">
        <v>75</v>
      </c>
      <c r="J256" s="10">
        <f t="shared" si="7"/>
        <v>1</v>
      </c>
      <c r="K256" s="14" t="s">
        <v>881</v>
      </c>
      <c r="L256" s="12">
        <f t="shared" si="6"/>
        <v>0</v>
      </c>
    </row>
    <row r="257" spans="1:12" x14ac:dyDescent="0.3">
      <c r="A257" s="5">
        <v>3</v>
      </c>
      <c r="B257" s="5">
        <v>2</v>
      </c>
      <c r="C257" s="5">
        <v>28.439</v>
      </c>
      <c r="D257" s="5">
        <v>28.439</v>
      </c>
      <c r="E257" s="5">
        <v>38.488999999999997</v>
      </c>
      <c r="F257" s="5">
        <v>1</v>
      </c>
      <c r="G257" s="5" t="s">
        <v>431</v>
      </c>
      <c r="H257" s="5" t="s">
        <v>431</v>
      </c>
      <c r="I257" s="5">
        <v>91</v>
      </c>
      <c r="J257" s="10">
        <f t="shared" si="7"/>
        <v>1</v>
      </c>
      <c r="K257" s="14" t="s">
        <v>889</v>
      </c>
      <c r="L257" s="12">
        <f t="shared" si="6"/>
        <v>1</v>
      </c>
    </row>
    <row r="258" spans="1:12" x14ac:dyDescent="0.3">
      <c r="A258" s="5">
        <v>3</v>
      </c>
      <c r="B258" s="5">
        <v>2</v>
      </c>
      <c r="C258" s="5">
        <v>15.694000000000001</v>
      </c>
      <c r="D258" s="5">
        <v>15.694000000000001</v>
      </c>
      <c r="E258" s="5">
        <v>18.314</v>
      </c>
      <c r="F258" s="5">
        <v>1</v>
      </c>
      <c r="G258" s="5" t="s">
        <v>431</v>
      </c>
      <c r="H258" s="5" t="s">
        <v>431</v>
      </c>
      <c r="I258" s="5">
        <v>83</v>
      </c>
      <c r="J258" s="10">
        <f t="shared" si="7"/>
        <v>1</v>
      </c>
      <c r="K258" s="14" t="s">
        <v>896</v>
      </c>
      <c r="L258" s="12">
        <f t="shared" si="6"/>
        <v>1</v>
      </c>
    </row>
    <row r="259" spans="1:12" x14ac:dyDescent="0.3">
      <c r="A259" s="5">
        <v>3</v>
      </c>
      <c r="B259" s="5">
        <v>2</v>
      </c>
      <c r="C259" s="5">
        <v>83.332999999999998</v>
      </c>
      <c r="D259" s="5">
        <v>83.332999999999998</v>
      </c>
      <c r="E259" s="5">
        <v>85.218999999999994</v>
      </c>
      <c r="F259" s="5">
        <v>1</v>
      </c>
      <c r="G259" s="5" t="s">
        <v>431</v>
      </c>
      <c r="H259" s="5" t="s">
        <v>431</v>
      </c>
      <c r="I259" s="5">
        <v>71</v>
      </c>
      <c r="J259" s="10">
        <f t="shared" si="7"/>
        <v>1</v>
      </c>
      <c r="K259" s="14" t="s">
        <v>904</v>
      </c>
      <c r="L259" s="12">
        <f t="shared" si="6"/>
        <v>1</v>
      </c>
    </row>
    <row r="260" spans="1:12" x14ac:dyDescent="0.3">
      <c r="A260" s="5">
        <v>3</v>
      </c>
      <c r="B260" s="5">
        <v>2</v>
      </c>
      <c r="C260" s="5">
        <v>3.5409999999999999</v>
      </c>
      <c r="D260" s="5">
        <v>3.5409999999999999</v>
      </c>
      <c r="E260" s="5">
        <v>4.4530000000000003</v>
      </c>
      <c r="F260" s="5">
        <v>1</v>
      </c>
      <c r="G260" s="5" t="s">
        <v>434</v>
      </c>
      <c r="H260" s="5" t="s">
        <v>431</v>
      </c>
      <c r="I260" s="5">
        <v>70</v>
      </c>
      <c r="J260" s="10">
        <f t="shared" si="7"/>
        <v>0</v>
      </c>
      <c r="K260" s="14"/>
      <c r="L260" s="12">
        <f t="shared" si="6"/>
        <v>0</v>
      </c>
    </row>
    <row r="261" spans="1:12" x14ac:dyDescent="0.3">
      <c r="A261" s="5">
        <v>3</v>
      </c>
      <c r="B261" s="5">
        <v>2</v>
      </c>
      <c r="C261" s="5">
        <v>6.266</v>
      </c>
      <c r="D261" s="5">
        <v>7.5780000000000003</v>
      </c>
      <c r="E261" s="5">
        <v>9.4139999999999997</v>
      </c>
      <c r="F261" s="5">
        <v>2</v>
      </c>
      <c r="G261" s="5" t="s">
        <v>434</v>
      </c>
      <c r="H261" s="5" t="s">
        <v>431</v>
      </c>
      <c r="I261" s="5">
        <v>85</v>
      </c>
      <c r="J261" s="10">
        <f t="shared" si="7"/>
        <v>1</v>
      </c>
      <c r="K261" s="14" t="s">
        <v>1169</v>
      </c>
      <c r="L261" s="12">
        <f t="shared" si="6"/>
        <v>0</v>
      </c>
    </row>
    <row r="262" spans="1:12" x14ac:dyDescent="0.3">
      <c r="A262" s="5">
        <v>3</v>
      </c>
      <c r="B262" s="5">
        <v>2</v>
      </c>
      <c r="C262" s="5">
        <v>78.543000000000006</v>
      </c>
      <c r="D262" s="5">
        <v>78.543000000000006</v>
      </c>
      <c r="E262" s="5">
        <v>121.804</v>
      </c>
      <c r="F262" s="5">
        <v>1</v>
      </c>
      <c r="G262" s="5" t="s">
        <v>434</v>
      </c>
      <c r="H262" s="5" t="s">
        <v>431</v>
      </c>
      <c r="I262" s="5">
        <v>90</v>
      </c>
      <c r="J262" s="18">
        <v>1</v>
      </c>
      <c r="K262" s="5" t="s">
        <v>1218</v>
      </c>
      <c r="L262" s="12">
        <f t="shared" si="6"/>
        <v>0</v>
      </c>
    </row>
    <row r="263" spans="1:12" x14ac:dyDescent="0.3">
      <c r="A263" s="5">
        <v>3</v>
      </c>
      <c r="B263" s="5">
        <v>2</v>
      </c>
      <c r="C263" s="5">
        <v>308.92</v>
      </c>
      <c r="D263" s="5">
        <v>308.92</v>
      </c>
      <c r="E263" s="5">
        <v>481.66500000000002</v>
      </c>
      <c r="F263" s="5">
        <v>1</v>
      </c>
      <c r="G263" s="5" t="s">
        <v>434</v>
      </c>
      <c r="H263" s="5" t="s">
        <v>431</v>
      </c>
      <c r="I263" s="5">
        <v>86</v>
      </c>
      <c r="J263" s="18">
        <v>0</v>
      </c>
      <c r="K263" s="5"/>
      <c r="L263" s="12">
        <f t="shared" si="6"/>
        <v>0</v>
      </c>
    </row>
    <row r="264" spans="1:12" x14ac:dyDescent="0.3">
      <c r="A264" s="5">
        <v>3</v>
      </c>
      <c r="B264" s="5">
        <v>3</v>
      </c>
      <c r="C264" s="5">
        <v>2.7509999999999999</v>
      </c>
      <c r="D264" s="5">
        <v>2.7509999999999999</v>
      </c>
      <c r="E264" s="5">
        <v>27.334</v>
      </c>
      <c r="F264" s="5">
        <v>1</v>
      </c>
      <c r="G264" s="5" t="s">
        <v>431</v>
      </c>
      <c r="H264" s="5" t="s">
        <v>434</v>
      </c>
      <c r="I264" s="5">
        <v>49</v>
      </c>
      <c r="J264" s="10">
        <f t="shared" si="7"/>
        <v>0</v>
      </c>
      <c r="K264" s="14"/>
      <c r="L264" s="12">
        <f t="shared" si="6"/>
        <v>0</v>
      </c>
    </row>
    <row r="265" spans="1:12" x14ac:dyDescent="0.3">
      <c r="A265" s="5">
        <v>3</v>
      </c>
      <c r="B265" s="5">
        <v>3</v>
      </c>
      <c r="C265" s="5">
        <v>66.558999999999997</v>
      </c>
      <c r="D265" s="5">
        <v>66.558999999999997</v>
      </c>
      <c r="E265" s="5">
        <v>67.387</v>
      </c>
      <c r="F265" s="5">
        <v>1</v>
      </c>
      <c r="G265" s="5" t="s">
        <v>431</v>
      </c>
      <c r="H265" s="5" t="s">
        <v>434</v>
      </c>
      <c r="I265" s="5">
        <v>35</v>
      </c>
      <c r="J265" s="10">
        <f t="shared" si="7"/>
        <v>1</v>
      </c>
      <c r="K265" s="14" t="s">
        <v>839</v>
      </c>
      <c r="L265" s="12">
        <f t="shared" si="6"/>
        <v>0</v>
      </c>
    </row>
    <row r="266" spans="1:12" x14ac:dyDescent="0.3">
      <c r="A266" s="5">
        <v>3</v>
      </c>
      <c r="B266" s="5">
        <v>3</v>
      </c>
      <c r="C266" s="5">
        <v>216.38399999999999</v>
      </c>
      <c r="D266" s="5">
        <v>216.38399999999999</v>
      </c>
      <c r="E266" s="5">
        <v>226.43600000000001</v>
      </c>
      <c r="F266" s="5">
        <v>1</v>
      </c>
      <c r="G266" s="5" t="s">
        <v>431</v>
      </c>
      <c r="H266" s="5" t="s">
        <v>434</v>
      </c>
      <c r="I266" s="5">
        <v>75</v>
      </c>
      <c r="J266" s="10">
        <f t="shared" si="7"/>
        <v>1</v>
      </c>
      <c r="K266" s="14" t="s">
        <v>845</v>
      </c>
      <c r="L266" s="12">
        <f t="shared" si="6"/>
        <v>0</v>
      </c>
    </row>
    <row r="267" spans="1:12" x14ac:dyDescent="0.3">
      <c r="A267" s="5">
        <v>3</v>
      </c>
      <c r="B267" s="5">
        <v>3</v>
      </c>
      <c r="C267" s="5">
        <v>14.429</v>
      </c>
      <c r="D267" s="5">
        <v>14.429</v>
      </c>
      <c r="E267" s="5">
        <v>18.09</v>
      </c>
      <c r="F267" s="5">
        <v>1</v>
      </c>
      <c r="G267" s="5" t="s">
        <v>431</v>
      </c>
      <c r="H267" s="5" t="s">
        <v>434</v>
      </c>
      <c r="I267" s="5">
        <v>61</v>
      </c>
      <c r="J267" s="10">
        <f t="shared" si="7"/>
        <v>1</v>
      </c>
      <c r="K267" s="14" t="s">
        <v>853</v>
      </c>
      <c r="L267" s="12">
        <f t="shared" si="6"/>
        <v>0</v>
      </c>
    </row>
    <row r="268" spans="1:12" x14ac:dyDescent="0.3">
      <c r="A268" s="5">
        <v>3</v>
      </c>
      <c r="B268" s="5">
        <v>3</v>
      </c>
      <c r="C268" s="5">
        <v>61.040999999999997</v>
      </c>
      <c r="D268" s="5">
        <v>61.040999999999997</v>
      </c>
      <c r="E268" s="5">
        <v>65.096999999999994</v>
      </c>
      <c r="F268" s="5">
        <v>1</v>
      </c>
      <c r="G268" s="5" t="s">
        <v>434</v>
      </c>
      <c r="H268" s="5" t="s">
        <v>434</v>
      </c>
      <c r="I268" s="5">
        <v>28</v>
      </c>
      <c r="J268" s="10">
        <f t="shared" si="7"/>
        <v>1</v>
      </c>
      <c r="K268" s="14" t="s">
        <v>861</v>
      </c>
      <c r="L268" s="12">
        <f t="shared" si="6"/>
        <v>1</v>
      </c>
    </row>
    <row r="269" spans="1:12" x14ac:dyDescent="0.3">
      <c r="A269" s="5">
        <v>3</v>
      </c>
      <c r="B269" s="5">
        <v>3</v>
      </c>
      <c r="C269" s="5">
        <v>104.96899999999999</v>
      </c>
      <c r="D269" s="5">
        <v>104.96899999999999</v>
      </c>
      <c r="E269" s="5">
        <v>110.56</v>
      </c>
      <c r="F269" s="5">
        <v>1</v>
      </c>
      <c r="G269" s="5" t="s">
        <v>434</v>
      </c>
      <c r="H269" s="5" t="s">
        <v>434</v>
      </c>
      <c r="I269" s="5">
        <v>70</v>
      </c>
      <c r="J269" s="10">
        <f t="shared" si="7"/>
        <v>0</v>
      </c>
      <c r="K269" s="14"/>
      <c r="L269" s="12">
        <f t="shared" si="6"/>
        <v>1</v>
      </c>
    </row>
    <row r="270" spans="1:12" x14ac:dyDescent="0.3">
      <c r="A270" s="5">
        <v>3</v>
      </c>
      <c r="B270" s="5">
        <v>3</v>
      </c>
      <c r="C270" s="5">
        <v>5.9690000000000003</v>
      </c>
      <c r="D270" s="5">
        <v>7.6109999999999998</v>
      </c>
      <c r="E270" s="5">
        <v>9.9</v>
      </c>
      <c r="F270" s="5">
        <v>3</v>
      </c>
      <c r="G270" s="5" t="s">
        <v>434</v>
      </c>
      <c r="H270" s="5" t="s">
        <v>434</v>
      </c>
      <c r="I270" s="5">
        <v>52</v>
      </c>
      <c r="J270" s="10">
        <f t="shared" si="7"/>
        <v>1</v>
      </c>
      <c r="K270" s="14" t="s">
        <v>874</v>
      </c>
      <c r="L270" s="12">
        <f t="shared" ref="L270:L343" si="8">IF(G270=H270, 1, 0)</f>
        <v>1</v>
      </c>
    </row>
    <row r="271" spans="1:12" x14ac:dyDescent="0.3">
      <c r="A271" s="5">
        <v>3</v>
      </c>
      <c r="B271" s="5">
        <v>3</v>
      </c>
      <c r="C271" s="5">
        <v>58.527999999999999</v>
      </c>
      <c r="D271" s="5">
        <v>58.527999999999999</v>
      </c>
      <c r="E271" s="5">
        <v>62.317</v>
      </c>
      <c r="F271" s="5">
        <v>1</v>
      </c>
      <c r="G271" s="5" t="s">
        <v>431</v>
      </c>
      <c r="H271" s="5" t="s">
        <v>434</v>
      </c>
      <c r="I271" s="5">
        <v>67</v>
      </c>
      <c r="J271" s="10">
        <f t="shared" ref="J271:J344" si="9">IF(ISBLANK(K271), 0, 1)</f>
        <v>1</v>
      </c>
      <c r="K271" s="14" t="s">
        <v>882</v>
      </c>
      <c r="L271" s="12">
        <f t="shared" si="8"/>
        <v>0</v>
      </c>
    </row>
    <row r="272" spans="1:12" x14ac:dyDescent="0.3">
      <c r="A272" s="5">
        <v>3</v>
      </c>
      <c r="B272" s="5">
        <v>3</v>
      </c>
      <c r="C272" s="5">
        <v>39.523000000000003</v>
      </c>
      <c r="D272" s="5">
        <v>39.523000000000003</v>
      </c>
      <c r="E272" s="5">
        <v>42.901000000000003</v>
      </c>
      <c r="F272" s="5">
        <v>1</v>
      </c>
      <c r="G272" s="5" t="s">
        <v>434</v>
      </c>
      <c r="H272" s="5" t="s">
        <v>434</v>
      </c>
      <c r="I272" s="5">
        <v>81</v>
      </c>
      <c r="J272" s="10">
        <f t="shared" si="9"/>
        <v>1</v>
      </c>
      <c r="K272" s="14" t="s">
        <v>890</v>
      </c>
      <c r="L272" s="12">
        <f t="shared" si="8"/>
        <v>1</v>
      </c>
    </row>
    <row r="273" spans="1:12" x14ac:dyDescent="0.3">
      <c r="A273" s="5">
        <v>3</v>
      </c>
      <c r="B273" s="5">
        <v>3</v>
      </c>
      <c r="C273" s="5">
        <v>35.183999999999997</v>
      </c>
      <c r="D273" s="5">
        <v>38.654000000000003</v>
      </c>
      <c r="E273" s="5">
        <v>41.673999999999999</v>
      </c>
      <c r="F273" s="5">
        <v>2</v>
      </c>
      <c r="G273" s="5" t="s">
        <v>434</v>
      </c>
      <c r="H273" s="5" t="s">
        <v>434</v>
      </c>
      <c r="I273" s="5">
        <v>75</v>
      </c>
      <c r="J273" s="10">
        <f t="shared" si="9"/>
        <v>1</v>
      </c>
      <c r="K273" s="14" t="s">
        <v>897</v>
      </c>
      <c r="L273" s="12">
        <f t="shared" si="8"/>
        <v>1</v>
      </c>
    </row>
    <row r="274" spans="1:12" x14ac:dyDescent="0.3">
      <c r="A274" s="5">
        <v>3</v>
      </c>
      <c r="B274" s="5">
        <v>3</v>
      </c>
      <c r="C274" s="5">
        <v>86.507999999999996</v>
      </c>
      <c r="D274" s="5">
        <v>86.507999999999996</v>
      </c>
      <c r="E274" s="5">
        <v>87.855000000000004</v>
      </c>
      <c r="F274" s="5">
        <v>1</v>
      </c>
      <c r="G274" s="5" t="s">
        <v>434</v>
      </c>
      <c r="H274" s="5" t="s">
        <v>434</v>
      </c>
      <c r="I274" s="5">
        <v>60</v>
      </c>
      <c r="J274" s="10">
        <f t="shared" si="9"/>
        <v>0</v>
      </c>
      <c r="K274" s="14"/>
      <c r="L274" s="12">
        <f t="shared" si="8"/>
        <v>1</v>
      </c>
    </row>
    <row r="275" spans="1:12" x14ac:dyDescent="0.3">
      <c r="A275" s="5">
        <v>3</v>
      </c>
      <c r="B275" s="5">
        <v>3</v>
      </c>
      <c r="C275" s="5">
        <v>0.92200000000000004</v>
      </c>
      <c r="D275" s="5">
        <v>0.92200000000000004</v>
      </c>
      <c r="E275" s="5">
        <v>1.65</v>
      </c>
      <c r="F275" s="5">
        <v>1</v>
      </c>
      <c r="G275" s="5" t="s">
        <v>431</v>
      </c>
      <c r="H275" s="5" t="s">
        <v>434</v>
      </c>
      <c r="I275" s="5">
        <v>70</v>
      </c>
      <c r="J275" s="10">
        <f t="shared" si="9"/>
        <v>0</v>
      </c>
      <c r="K275" s="14"/>
      <c r="L275" s="12">
        <f t="shared" si="8"/>
        <v>0</v>
      </c>
    </row>
    <row r="276" spans="1:12" x14ac:dyDescent="0.3">
      <c r="A276" s="5">
        <v>3</v>
      </c>
      <c r="B276" s="5">
        <v>3</v>
      </c>
      <c r="C276" s="5">
        <v>27.658999999999999</v>
      </c>
      <c r="D276" s="5">
        <v>27.658999999999999</v>
      </c>
      <c r="E276" s="5">
        <v>30.965</v>
      </c>
      <c r="F276" s="5">
        <v>1</v>
      </c>
      <c r="G276" s="5" t="s">
        <v>434</v>
      </c>
      <c r="H276" s="5" t="s">
        <v>434</v>
      </c>
      <c r="I276" s="5">
        <v>70</v>
      </c>
      <c r="J276" s="10">
        <f t="shared" si="9"/>
        <v>1</v>
      </c>
      <c r="K276" s="14" t="s">
        <v>1170</v>
      </c>
      <c r="L276" s="12">
        <f t="shared" si="8"/>
        <v>1</v>
      </c>
    </row>
    <row r="277" spans="1:12" x14ac:dyDescent="0.3">
      <c r="A277" s="5">
        <v>3</v>
      </c>
      <c r="B277" s="5">
        <v>3</v>
      </c>
      <c r="C277" s="5">
        <v>25.63</v>
      </c>
      <c r="D277" s="5">
        <v>58.204999999999998</v>
      </c>
      <c r="E277" s="5">
        <v>311.32100000000003</v>
      </c>
      <c r="F277" s="5">
        <v>3</v>
      </c>
      <c r="G277" s="5" t="s">
        <v>434</v>
      </c>
      <c r="H277" s="5" t="s">
        <v>434</v>
      </c>
      <c r="I277" s="5">
        <v>95</v>
      </c>
      <c r="J277" s="18">
        <v>1</v>
      </c>
      <c r="K277" s="5" t="s">
        <v>1219</v>
      </c>
      <c r="L277" s="12">
        <f t="shared" si="8"/>
        <v>1</v>
      </c>
    </row>
    <row r="278" spans="1:12" x14ac:dyDescent="0.3">
      <c r="A278" s="5">
        <v>3</v>
      </c>
      <c r="B278" s="5">
        <v>3</v>
      </c>
      <c r="C278" s="5">
        <v>29.117999999999999</v>
      </c>
      <c r="D278" s="5">
        <v>243.97800000000001</v>
      </c>
      <c r="E278" s="5">
        <v>244.76300000000001</v>
      </c>
      <c r="F278" s="5">
        <v>3</v>
      </c>
      <c r="G278" s="5" t="s">
        <v>431</v>
      </c>
      <c r="H278" s="5" t="s">
        <v>434</v>
      </c>
      <c r="I278" s="5">
        <v>86</v>
      </c>
      <c r="J278" s="18">
        <v>1</v>
      </c>
      <c r="K278" s="5" t="s">
        <v>1226</v>
      </c>
      <c r="L278" s="12">
        <f t="shared" si="8"/>
        <v>0</v>
      </c>
    </row>
    <row r="279" spans="1:12" x14ac:dyDescent="0.3">
      <c r="A279" s="5">
        <v>3</v>
      </c>
      <c r="B279" s="5">
        <v>4</v>
      </c>
      <c r="C279" s="5">
        <v>12.231999999999999</v>
      </c>
      <c r="D279" s="5">
        <v>12.231999999999999</v>
      </c>
      <c r="E279" s="5">
        <v>15.25</v>
      </c>
      <c r="F279" s="5">
        <v>1</v>
      </c>
      <c r="G279" s="5" t="s">
        <v>431</v>
      </c>
      <c r="H279" s="5" t="s">
        <v>434</v>
      </c>
      <c r="I279" s="5">
        <v>57</v>
      </c>
      <c r="J279" s="10">
        <f t="shared" si="9"/>
        <v>0</v>
      </c>
      <c r="K279" s="14"/>
      <c r="L279" s="12">
        <f t="shared" si="8"/>
        <v>0</v>
      </c>
    </row>
    <row r="280" spans="1:12" x14ac:dyDescent="0.3">
      <c r="A280" s="5">
        <v>3</v>
      </c>
      <c r="B280" s="5">
        <v>4</v>
      </c>
      <c r="C280" s="5">
        <v>56.61</v>
      </c>
      <c r="D280" s="5">
        <v>57.689</v>
      </c>
      <c r="E280" s="5">
        <v>58.154000000000003</v>
      </c>
      <c r="F280" s="5">
        <v>2</v>
      </c>
      <c r="G280" s="5" t="s">
        <v>434</v>
      </c>
      <c r="H280" s="5" t="s">
        <v>434</v>
      </c>
      <c r="I280" s="5">
        <v>25</v>
      </c>
      <c r="J280" s="10">
        <f t="shared" si="9"/>
        <v>0</v>
      </c>
      <c r="K280" s="14"/>
      <c r="L280" s="12">
        <f t="shared" si="8"/>
        <v>1</v>
      </c>
    </row>
    <row r="281" spans="1:12" x14ac:dyDescent="0.3">
      <c r="A281" s="5">
        <v>3</v>
      </c>
      <c r="B281" s="5">
        <v>4</v>
      </c>
      <c r="C281" s="5">
        <v>71.998999999999995</v>
      </c>
      <c r="D281" s="5">
        <v>74.402000000000001</v>
      </c>
      <c r="E281" s="5">
        <v>75.117999999999995</v>
      </c>
      <c r="F281" s="5">
        <v>2</v>
      </c>
      <c r="G281" s="5" t="s">
        <v>434</v>
      </c>
      <c r="H281" s="5" t="s">
        <v>434</v>
      </c>
      <c r="I281" s="5">
        <v>75</v>
      </c>
      <c r="J281" s="10">
        <f t="shared" si="9"/>
        <v>1</v>
      </c>
      <c r="K281" s="14" t="s">
        <v>846</v>
      </c>
      <c r="L281" s="12">
        <f t="shared" si="8"/>
        <v>1</v>
      </c>
    </row>
    <row r="282" spans="1:12" x14ac:dyDescent="0.3">
      <c r="A282" s="5">
        <v>3</v>
      </c>
      <c r="B282" s="5">
        <v>4</v>
      </c>
      <c r="C282" s="5">
        <v>19.245999999999999</v>
      </c>
      <c r="D282" s="5">
        <v>37.53</v>
      </c>
      <c r="E282" s="5">
        <v>38.921999999999997</v>
      </c>
      <c r="F282" s="5">
        <v>3</v>
      </c>
      <c r="G282" s="5" t="s">
        <v>434</v>
      </c>
      <c r="H282" s="5" t="s">
        <v>434</v>
      </c>
      <c r="I282" s="5">
        <v>70</v>
      </c>
      <c r="J282" s="10">
        <f t="shared" si="9"/>
        <v>1</v>
      </c>
      <c r="K282" s="14" t="s">
        <v>854</v>
      </c>
      <c r="L282" s="12">
        <f t="shared" si="8"/>
        <v>1</v>
      </c>
    </row>
    <row r="283" spans="1:12" x14ac:dyDescent="0.3">
      <c r="A283" s="5">
        <v>3</v>
      </c>
      <c r="B283" s="5">
        <v>4</v>
      </c>
      <c r="C283" s="5">
        <v>13.837</v>
      </c>
      <c r="D283" s="5">
        <v>104.63200000000001</v>
      </c>
      <c r="E283" s="5">
        <v>111.3</v>
      </c>
      <c r="F283" s="5">
        <v>2</v>
      </c>
      <c r="G283" s="5" t="s">
        <v>431</v>
      </c>
      <c r="H283" s="5" t="s">
        <v>434</v>
      </c>
      <c r="I283" s="5">
        <v>54</v>
      </c>
      <c r="J283" s="10">
        <f t="shared" si="9"/>
        <v>1</v>
      </c>
      <c r="K283" s="14" t="s">
        <v>862</v>
      </c>
      <c r="L283" s="12">
        <f t="shared" si="8"/>
        <v>0</v>
      </c>
    </row>
    <row r="284" spans="1:12" x14ac:dyDescent="0.3">
      <c r="A284" s="5">
        <v>3</v>
      </c>
      <c r="B284" s="5">
        <v>4</v>
      </c>
      <c r="C284" s="5">
        <v>47.292999999999999</v>
      </c>
      <c r="D284" s="5">
        <v>47.292999999999999</v>
      </c>
      <c r="E284" s="5">
        <v>49.262999999999998</v>
      </c>
      <c r="F284" s="5">
        <v>1</v>
      </c>
      <c r="G284" s="5" t="s">
        <v>434</v>
      </c>
      <c r="H284" s="5" t="s">
        <v>434</v>
      </c>
      <c r="I284" s="5">
        <v>80</v>
      </c>
      <c r="J284" s="10">
        <f t="shared" si="9"/>
        <v>1</v>
      </c>
      <c r="K284" s="14" t="s">
        <v>869</v>
      </c>
      <c r="L284" s="12">
        <f t="shared" si="8"/>
        <v>1</v>
      </c>
    </row>
    <row r="285" spans="1:12" x14ac:dyDescent="0.3">
      <c r="A285" s="5">
        <v>3</v>
      </c>
      <c r="B285" s="5">
        <v>4</v>
      </c>
      <c r="C285" s="5">
        <v>2.38</v>
      </c>
      <c r="D285" s="5">
        <v>14.426</v>
      </c>
      <c r="E285" s="5">
        <v>16.097000000000001</v>
      </c>
      <c r="F285" s="5">
        <v>10</v>
      </c>
      <c r="G285" s="5" t="s">
        <v>434</v>
      </c>
      <c r="H285" s="5" t="s">
        <v>434</v>
      </c>
      <c r="I285" s="5">
        <v>69</v>
      </c>
      <c r="J285" s="10">
        <f t="shared" si="9"/>
        <v>1</v>
      </c>
      <c r="K285" s="14" t="s">
        <v>875</v>
      </c>
      <c r="L285" s="12">
        <f t="shared" si="8"/>
        <v>1</v>
      </c>
    </row>
    <row r="286" spans="1:12" x14ac:dyDescent="0.3">
      <c r="A286" s="5">
        <v>3</v>
      </c>
      <c r="B286" s="5">
        <v>4</v>
      </c>
      <c r="C286" s="5">
        <v>18.484999999999999</v>
      </c>
      <c r="D286" s="5">
        <v>18.484999999999999</v>
      </c>
      <c r="E286" s="5">
        <v>21.068999999999999</v>
      </c>
      <c r="F286" s="5">
        <v>1</v>
      </c>
      <c r="G286" s="5" t="s">
        <v>431</v>
      </c>
      <c r="H286" s="5" t="s">
        <v>434</v>
      </c>
      <c r="I286" s="5">
        <v>71</v>
      </c>
      <c r="J286" s="10">
        <f t="shared" si="9"/>
        <v>1</v>
      </c>
      <c r="K286" s="14" t="s">
        <v>883</v>
      </c>
      <c r="L286" s="12">
        <f t="shared" si="8"/>
        <v>0</v>
      </c>
    </row>
    <row r="287" spans="1:12" x14ac:dyDescent="0.3">
      <c r="A287" s="5">
        <v>3</v>
      </c>
      <c r="B287" s="5">
        <v>4</v>
      </c>
      <c r="C287" s="5">
        <v>15.747999999999999</v>
      </c>
      <c r="D287" s="5">
        <v>36.463999999999999</v>
      </c>
      <c r="E287" s="5">
        <v>41.843000000000004</v>
      </c>
      <c r="F287" s="5">
        <v>2</v>
      </c>
      <c r="G287" s="5" t="s">
        <v>431</v>
      </c>
      <c r="H287" s="5" t="s">
        <v>434</v>
      </c>
      <c r="I287" s="5">
        <v>70</v>
      </c>
      <c r="J287" s="10">
        <f t="shared" si="9"/>
        <v>1</v>
      </c>
      <c r="K287" s="14" t="s">
        <v>891</v>
      </c>
      <c r="L287" s="12">
        <f t="shared" si="8"/>
        <v>0</v>
      </c>
    </row>
    <row r="288" spans="1:12" x14ac:dyDescent="0.3">
      <c r="A288" s="5">
        <v>3</v>
      </c>
      <c r="B288" s="5">
        <v>4</v>
      </c>
      <c r="C288" s="5">
        <v>31.349</v>
      </c>
      <c r="D288" s="5">
        <v>31.349</v>
      </c>
      <c r="E288" s="5">
        <v>32.366999999999997</v>
      </c>
      <c r="F288" s="5">
        <v>1</v>
      </c>
      <c r="G288" s="5" t="s">
        <v>431</v>
      </c>
      <c r="H288" s="5" t="s">
        <v>434</v>
      </c>
      <c r="I288" s="5">
        <v>93</v>
      </c>
      <c r="J288" s="10">
        <f t="shared" si="9"/>
        <v>1</v>
      </c>
      <c r="K288" s="14" t="s">
        <v>898</v>
      </c>
      <c r="L288" s="12">
        <f t="shared" si="8"/>
        <v>0</v>
      </c>
    </row>
    <row r="289" spans="1:12" x14ac:dyDescent="0.3">
      <c r="A289" s="5">
        <v>3</v>
      </c>
      <c r="B289" s="5">
        <v>4</v>
      </c>
      <c r="C289" s="5">
        <v>24.513999999999999</v>
      </c>
      <c r="D289" s="5">
        <v>24.513999999999999</v>
      </c>
      <c r="E289" s="5">
        <v>25.687000000000001</v>
      </c>
      <c r="F289" s="5">
        <v>1</v>
      </c>
      <c r="G289" s="5" t="s">
        <v>434</v>
      </c>
      <c r="H289" s="5" t="s">
        <v>434</v>
      </c>
      <c r="I289" s="5">
        <v>41</v>
      </c>
      <c r="J289" s="10">
        <f t="shared" si="9"/>
        <v>0</v>
      </c>
      <c r="K289" s="14"/>
      <c r="L289" s="12">
        <f t="shared" si="8"/>
        <v>1</v>
      </c>
    </row>
    <row r="290" spans="1:12" x14ac:dyDescent="0.3">
      <c r="A290" s="5">
        <v>3</v>
      </c>
      <c r="B290" s="5">
        <v>4</v>
      </c>
      <c r="C290" s="5">
        <v>0.9</v>
      </c>
      <c r="D290" s="5">
        <v>3.2509999999999999</v>
      </c>
      <c r="E290" s="5">
        <v>3.5630000000000002</v>
      </c>
      <c r="F290" s="5">
        <v>3</v>
      </c>
      <c r="G290" s="5" t="s">
        <v>434</v>
      </c>
      <c r="H290" s="5" t="s">
        <v>434</v>
      </c>
      <c r="I290" s="5">
        <v>70</v>
      </c>
      <c r="J290" s="10">
        <f t="shared" si="9"/>
        <v>0</v>
      </c>
      <c r="K290" s="14"/>
      <c r="L290" s="12">
        <f t="shared" si="8"/>
        <v>1</v>
      </c>
    </row>
    <row r="291" spans="1:12" x14ac:dyDescent="0.3">
      <c r="A291" s="5">
        <v>3</v>
      </c>
      <c r="B291" s="5">
        <v>4</v>
      </c>
      <c r="C291" s="5">
        <v>3.8159999999999998</v>
      </c>
      <c r="D291" s="5">
        <v>3.8159999999999998</v>
      </c>
      <c r="E291" s="5">
        <v>5.2729999999999997</v>
      </c>
      <c r="F291" s="5">
        <v>1</v>
      </c>
      <c r="G291" s="5" t="s">
        <v>431</v>
      </c>
      <c r="H291" s="5" t="s">
        <v>434</v>
      </c>
      <c r="I291" s="5">
        <v>84</v>
      </c>
      <c r="J291" s="10">
        <f t="shared" si="9"/>
        <v>1</v>
      </c>
      <c r="K291" s="14" t="s">
        <v>1170</v>
      </c>
      <c r="L291" s="12">
        <f t="shared" si="8"/>
        <v>0</v>
      </c>
    </row>
    <row r="292" spans="1:12" x14ac:dyDescent="0.3">
      <c r="A292" s="5">
        <v>3</v>
      </c>
      <c r="B292" s="5">
        <v>4</v>
      </c>
      <c r="C292" s="5">
        <v>81.915999999999997</v>
      </c>
      <c r="D292" s="5">
        <v>102.128</v>
      </c>
      <c r="E292" s="5">
        <v>127.416</v>
      </c>
      <c r="F292" s="5">
        <v>5</v>
      </c>
      <c r="G292" s="5" t="s">
        <v>434</v>
      </c>
      <c r="H292" s="5" t="s">
        <v>434</v>
      </c>
      <c r="I292" s="5">
        <v>90</v>
      </c>
      <c r="J292" s="18">
        <v>1</v>
      </c>
      <c r="K292" s="5" t="s">
        <v>1220</v>
      </c>
      <c r="L292" s="12">
        <f t="shared" si="8"/>
        <v>1</v>
      </c>
    </row>
    <row r="293" spans="1:12" x14ac:dyDescent="0.3">
      <c r="A293" s="5">
        <v>3</v>
      </c>
      <c r="B293" s="5">
        <v>4</v>
      </c>
      <c r="C293" s="5">
        <v>85.42</v>
      </c>
      <c r="D293" s="5">
        <v>85.42</v>
      </c>
      <c r="E293" s="5">
        <v>196.53899999999999</v>
      </c>
      <c r="F293" s="5">
        <v>1</v>
      </c>
      <c r="G293" s="5" t="s">
        <v>434</v>
      </c>
      <c r="H293" s="5" t="s">
        <v>434</v>
      </c>
      <c r="I293" s="5">
        <v>87</v>
      </c>
      <c r="J293" s="18">
        <v>1</v>
      </c>
      <c r="K293" s="5" t="s">
        <v>1227</v>
      </c>
      <c r="L293" s="12">
        <f t="shared" si="8"/>
        <v>1</v>
      </c>
    </row>
    <row r="294" spans="1:12" x14ac:dyDescent="0.3">
      <c r="A294" s="5">
        <v>3</v>
      </c>
      <c r="B294" s="5">
        <v>5</v>
      </c>
      <c r="C294" s="5">
        <v>0.78700000000000003</v>
      </c>
      <c r="D294" s="5">
        <v>0.78700000000000003</v>
      </c>
      <c r="E294" s="5">
        <v>2.448</v>
      </c>
      <c r="F294" s="5">
        <v>1</v>
      </c>
      <c r="G294" s="5" t="s">
        <v>431</v>
      </c>
      <c r="H294" s="5" t="s">
        <v>431</v>
      </c>
      <c r="I294" s="5">
        <v>62</v>
      </c>
      <c r="J294" s="10">
        <f t="shared" si="9"/>
        <v>0</v>
      </c>
      <c r="K294" s="14"/>
      <c r="L294" s="12">
        <f t="shared" si="8"/>
        <v>1</v>
      </c>
    </row>
    <row r="295" spans="1:12" x14ac:dyDescent="0.3">
      <c r="A295" s="5">
        <v>3</v>
      </c>
      <c r="B295" s="5">
        <v>5</v>
      </c>
      <c r="C295" s="5">
        <v>21.32</v>
      </c>
      <c r="D295" s="5">
        <v>84.286000000000001</v>
      </c>
      <c r="E295" s="5">
        <v>94.094999999999999</v>
      </c>
      <c r="F295" s="5">
        <v>2</v>
      </c>
      <c r="G295" s="5" t="s">
        <v>431</v>
      </c>
      <c r="H295" s="5" t="s">
        <v>431</v>
      </c>
      <c r="I295" s="5">
        <v>71</v>
      </c>
      <c r="J295" s="10">
        <f t="shared" si="9"/>
        <v>1</v>
      </c>
      <c r="K295" s="14" t="s">
        <v>840</v>
      </c>
      <c r="L295" s="12">
        <f t="shared" si="8"/>
        <v>1</v>
      </c>
    </row>
    <row r="296" spans="1:12" x14ac:dyDescent="0.3">
      <c r="A296" s="5">
        <v>3</v>
      </c>
      <c r="B296" s="5">
        <v>5</v>
      </c>
      <c r="C296" s="5">
        <v>51.472999999999999</v>
      </c>
      <c r="D296" s="5">
        <v>51.472999999999999</v>
      </c>
      <c r="E296" s="5">
        <v>54.768000000000001</v>
      </c>
      <c r="F296" s="5">
        <v>1</v>
      </c>
      <c r="G296" s="5" t="s">
        <v>431</v>
      </c>
      <c r="H296" s="5" t="s">
        <v>431</v>
      </c>
      <c r="I296" s="5">
        <v>80</v>
      </c>
      <c r="J296" s="10">
        <f t="shared" si="9"/>
        <v>1</v>
      </c>
      <c r="K296" s="14" t="s">
        <v>847</v>
      </c>
      <c r="L296" s="12">
        <f t="shared" si="8"/>
        <v>1</v>
      </c>
    </row>
    <row r="297" spans="1:12" x14ac:dyDescent="0.3">
      <c r="A297" s="5">
        <v>3</v>
      </c>
      <c r="B297" s="5">
        <v>5</v>
      </c>
      <c r="C297" s="5">
        <v>34.314999999999998</v>
      </c>
      <c r="D297" s="5">
        <v>34.845999999999997</v>
      </c>
      <c r="E297" s="5">
        <v>36.122</v>
      </c>
      <c r="F297" s="5">
        <v>2</v>
      </c>
      <c r="G297" s="5" t="s">
        <v>434</v>
      </c>
      <c r="H297" s="5" t="s">
        <v>431</v>
      </c>
      <c r="I297" s="5">
        <v>0</v>
      </c>
      <c r="J297" s="10">
        <f t="shared" si="9"/>
        <v>1</v>
      </c>
      <c r="K297" s="14" t="s">
        <v>855</v>
      </c>
      <c r="L297" s="12">
        <f t="shared" si="8"/>
        <v>0</v>
      </c>
    </row>
    <row r="298" spans="1:12" x14ac:dyDescent="0.3">
      <c r="A298" s="5">
        <v>3</v>
      </c>
      <c r="B298" s="5">
        <v>5</v>
      </c>
      <c r="C298" s="5">
        <v>45.284999999999997</v>
      </c>
      <c r="D298" s="5">
        <v>45.284999999999997</v>
      </c>
      <c r="E298" s="5">
        <v>46.642000000000003</v>
      </c>
      <c r="F298" s="5">
        <v>1</v>
      </c>
      <c r="G298" s="5" t="s">
        <v>431</v>
      </c>
      <c r="H298" s="5" t="s">
        <v>431</v>
      </c>
      <c r="I298" s="5">
        <v>52</v>
      </c>
      <c r="J298" s="10">
        <f t="shared" si="9"/>
        <v>1</v>
      </c>
      <c r="K298" s="14" t="s">
        <v>863</v>
      </c>
      <c r="L298" s="12">
        <f t="shared" si="8"/>
        <v>1</v>
      </c>
    </row>
    <row r="299" spans="1:12" x14ac:dyDescent="0.3">
      <c r="A299" s="5">
        <v>3</v>
      </c>
      <c r="B299" s="5">
        <v>5</v>
      </c>
      <c r="C299" s="5">
        <v>106.874</v>
      </c>
      <c r="D299" s="5">
        <v>106.874</v>
      </c>
      <c r="E299" s="5">
        <v>110.10299999999999</v>
      </c>
      <c r="F299" s="5">
        <v>1</v>
      </c>
      <c r="G299" s="5" t="s">
        <v>434</v>
      </c>
      <c r="H299" s="5" t="s">
        <v>431</v>
      </c>
      <c r="I299" s="5">
        <v>60</v>
      </c>
      <c r="J299" s="10">
        <f t="shared" si="9"/>
        <v>0</v>
      </c>
      <c r="K299" s="14"/>
      <c r="L299" s="12">
        <f t="shared" si="8"/>
        <v>0</v>
      </c>
    </row>
    <row r="300" spans="1:12" x14ac:dyDescent="0.3">
      <c r="A300" s="5">
        <v>3</v>
      </c>
      <c r="B300" s="5">
        <v>5</v>
      </c>
      <c r="C300" s="5">
        <v>1.1120000000000001</v>
      </c>
      <c r="D300" s="5">
        <v>12.538</v>
      </c>
      <c r="E300" s="5">
        <v>13.388999999999999</v>
      </c>
      <c r="F300" s="5">
        <v>6</v>
      </c>
      <c r="G300" s="5" t="s">
        <v>431</v>
      </c>
      <c r="H300" s="5" t="s">
        <v>431</v>
      </c>
      <c r="I300" s="5">
        <v>63</v>
      </c>
      <c r="J300" s="10">
        <f t="shared" si="9"/>
        <v>1</v>
      </c>
      <c r="K300" s="14" t="s">
        <v>876</v>
      </c>
      <c r="L300" s="12">
        <f t="shared" si="8"/>
        <v>1</v>
      </c>
    </row>
    <row r="301" spans="1:12" x14ac:dyDescent="0.3">
      <c r="A301" s="5">
        <v>3</v>
      </c>
      <c r="B301" s="5">
        <v>5</v>
      </c>
      <c r="C301" s="5">
        <v>105.845</v>
      </c>
      <c r="D301" s="5">
        <v>116.72</v>
      </c>
      <c r="E301" s="5">
        <v>120.621</v>
      </c>
      <c r="F301" s="5">
        <v>2</v>
      </c>
      <c r="G301" s="5" t="s">
        <v>431</v>
      </c>
      <c r="H301" s="5" t="s">
        <v>431</v>
      </c>
      <c r="I301" s="5">
        <v>80</v>
      </c>
      <c r="J301" s="10">
        <f t="shared" si="9"/>
        <v>1</v>
      </c>
      <c r="K301" s="14" t="s">
        <v>884</v>
      </c>
      <c r="L301" s="12">
        <f t="shared" si="8"/>
        <v>1</v>
      </c>
    </row>
    <row r="302" spans="1:12" x14ac:dyDescent="0.3">
      <c r="A302" s="5">
        <v>3</v>
      </c>
      <c r="B302" s="5">
        <v>5</v>
      </c>
      <c r="C302" s="5">
        <v>31.532</v>
      </c>
      <c r="D302" s="5">
        <v>31.532</v>
      </c>
      <c r="E302" s="5">
        <v>32.840000000000003</v>
      </c>
      <c r="F302" s="5">
        <v>1</v>
      </c>
      <c r="G302" s="5" t="s">
        <v>431</v>
      </c>
      <c r="H302" s="5" t="s">
        <v>431</v>
      </c>
      <c r="I302" s="5">
        <v>80</v>
      </c>
      <c r="J302" s="10">
        <f t="shared" si="9"/>
        <v>0</v>
      </c>
      <c r="K302" s="14"/>
      <c r="L302" s="12">
        <f t="shared" si="8"/>
        <v>1</v>
      </c>
    </row>
    <row r="303" spans="1:12" x14ac:dyDescent="0.3">
      <c r="A303" s="5">
        <v>3</v>
      </c>
      <c r="B303" s="5">
        <v>5</v>
      </c>
      <c r="C303" s="5">
        <v>29.26</v>
      </c>
      <c r="D303" s="5">
        <v>29.26</v>
      </c>
      <c r="E303" s="5">
        <v>35.817</v>
      </c>
      <c r="F303" s="5">
        <v>1</v>
      </c>
      <c r="G303" s="5" t="s">
        <v>431</v>
      </c>
      <c r="H303" s="5" t="s">
        <v>431</v>
      </c>
      <c r="I303" s="5">
        <v>100</v>
      </c>
      <c r="J303" s="10">
        <f t="shared" si="9"/>
        <v>1</v>
      </c>
      <c r="K303" s="14" t="s">
        <v>899</v>
      </c>
      <c r="L303" s="12">
        <f t="shared" si="8"/>
        <v>1</v>
      </c>
    </row>
    <row r="304" spans="1:12" x14ac:dyDescent="0.3">
      <c r="A304" s="5">
        <v>3</v>
      </c>
      <c r="B304" s="5">
        <v>5</v>
      </c>
      <c r="C304" s="5">
        <v>45.508000000000003</v>
      </c>
      <c r="D304" s="5">
        <v>45.508000000000003</v>
      </c>
      <c r="E304" s="5">
        <v>46.868000000000002</v>
      </c>
      <c r="F304" s="5">
        <v>1</v>
      </c>
      <c r="G304" s="5" t="s">
        <v>431</v>
      </c>
      <c r="H304" s="5" t="s">
        <v>431</v>
      </c>
      <c r="I304" s="5">
        <v>100</v>
      </c>
      <c r="J304" s="10">
        <f t="shared" si="9"/>
        <v>0</v>
      </c>
      <c r="K304" s="14"/>
      <c r="L304" s="12">
        <f t="shared" si="8"/>
        <v>1</v>
      </c>
    </row>
    <row r="305" spans="1:12" x14ac:dyDescent="0.3">
      <c r="A305" s="5">
        <v>3</v>
      </c>
      <c r="B305" s="5">
        <v>5</v>
      </c>
      <c r="C305" s="5">
        <v>0.25900000000000001</v>
      </c>
      <c r="D305" s="5">
        <v>0.25900000000000001</v>
      </c>
      <c r="E305" s="5">
        <v>1.325</v>
      </c>
      <c r="F305" s="5">
        <v>1</v>
      </c>
      <c r="G305" s="5" t="s">
        <v>431</v>
      </c>
      <c r="H305" s="5" t="s">
        <v>431</v>
      </c>
      <c r="I305" s="5">
        <v>70</v>
      </c>
      <c r="J305" s="10">
        <f t="shared" si="9"/>
        <v>0</v>
      </c>
      <c r="K305" s="14"/>
      <c r="L305" s="12">
        <f t="shared" si="8"/>
        <v>1</v>
      </c>
    </row>
    <row r="306" spans="1:12" x14ac:dyDescent="0.3">
      <c r="A306" s="5">
        <v>3</v>
      </c>
      <c r="B306" s="5">
        <v>5</v>
      </c>
      <c r="C306" s="5">
        <v>1.218</v>
      </c>
      <c r="D306" s="5">
        <v>1.218</v>
      </c>
      <c r="E306" s="5">
        <v>4.9000000000000004</v>
      </c>
      <c r="F306" s="5">
        <v>1</v>
      </c>
      <c r="G306" s="5" t="s">
        <v>431</v>
      </c>
      <c r="H306" s="5" t="s">
        <v>431</v>
      </c>
      <c r="I306" s="5">
        <v>97</v>
      </c>
      <c r="J306" s="10">
        <f t="shared" si="9"/>
        <v>1</v>
      </c>
      <c r="K306" s="14" t="s">
        <v>1170</v>
      </c>
      <c r="L306" s="12">
        <f t="shared" si="8"/>
        <v>1</v>
      </c>
    </row>
    <row r="307" spans="1:12" x14ac:dyDescent="0.3">
      <c r="A307" s="5">
        <v>3</v>
      </c>
      <c r="B307" s="5">
        <v>5</v>
      </c>
      <c r="C307" s="5">
        <v>28.744</v>
      </c>
      <c r="D307" s="5">
        <v>74.009</v>
      </c>
      <c r="E307" s="5">
        <v>125.312</v>
      </c>
      <c r="F307" s="5">
        <v>3</v>
      </c>
      <c r="G307" s="5" t="s">
        <v>431</v>
      </c>
      <c r="H307" s="5" t="s">
        <v>431</v>
      </c>
      <c r="I307" s="5">
        <v>95</v>
      </c>
      <c r="J307" s="18">
        <v>1</v>
      </c>
      <c r="K307" s="5" t="s">
        <v>1221</v>
      </c>
      <c r="L307" s="12">
        <f t="shared" si="8"/>
        <v>1</v>
      </c>
    </row>
    <row r="308" spans="1:12" x14ac:dyDescent="0.3">
      <c r="A308" s="5">
        <v>3</v>
      </c>
      <c r="B308" s="5">
        <v>5</v>
      </c>
      <c r="C308" s="5">
        <v>165.084</v>
      </c>
      <c r="D308" s="5">
        <v>165.084</v>
      </c>
      <c r="E308" s="5">
        <v>421.89</v>
      </c>
      <c r="F308" s="5">
        <v>1</v>
      </c>
      <c r="G308" s="5" t="s">
        <v>431</v>
      </c>
      <c r="H308" s="5" t="s">
        <v>431</v>
      </c>
      <c r="I308" s="5">
        <v>83</v>
      </c>
      <c r="J308" s="18">
        <v>1</v>
      </c>
      <c r="K308" s="5" t="s">
        <v>1228</v>
      </c>
      <c r="L308" s="12">
        <f t="shared" si="8"/>
        <v>1</v>
      </c>
    </row>
    <row r="309" spans="1:12" x14ac:dyDescent="0.3">
      <c r="A309" s="5">
        <v>3</v>
      </c>
      <c r="B309" s="5">
        <v>6</v>
      </c>
      <c r="C309" s="5">
        <v>1.391</v>
      </c>
      <c r="D309" s="5">
        <v>1.391</v>
      </c>
      <c r="E309" s="5">
        <v>2.637</v>
      </c>
      <c r="F309" s="5">
        <v>1</v>
      </c>
      <c r="G309" s="5" t="s">
        <v>431</v>
      </c>
      <c r="H309" s="5" t="s">
        <v>431</v>
      </c>
      <c r="I309" s="5">
        <v>59</v>
      </c>
      <c r="J309" s="10">
        <f t="shared" si="9"/>
        <v>0</v>
      </c>
      <c r="K309" s="14"/>
      <c r="L309" s="12">
        <f t="shared" si="8"/>
        <v>1</v>
      </c>
    </row>
    <row r="310" spans="1:12" x14ac:dyDescent="0.3">
      <c r="A310" s="5">
        <v>3</v>
      </c>
      <c r="B310" s="5">
        <v>6</v>
      </c>
      <c r="C310" s="5">
        <v>57.081000000000003</v>
      </c>
      <c r="D310" s="5">
        <v>57.081000000000003</v>
      </c>
      <c r="E310" s="5">
        <v>63.526000000000003</v>
      </c>
      <c r="F310" s="5">
        <v>1</v>
      </c>
      <c r="G310" s="5" t="s">
        <v>431</v>
      </c>
      <c r="H310" s="5" t="s">
        <v>431</v>
      </c>
      <c r="I310" s="5">
        <v>75</v>
      </c>
      <c r="J310" s="10">
        <f t="shared" si="9"/>
        <v>1</v>
      </c>
      <c r="K310" s="14" t="s">
        <v>841</v>
      </c>
      <c r="L310" s="12">
        <f t="shared" si="8"/>
        <v>1</v>
      </c>
    </row>
    <row r="311" spans="1:12" x14ac:dyDescent="0.3">
      <c r="A311" s="5">
        <v>3</v>
      </c>
      <c r="B311" s="5">
        <v>6</v>
      </c>
      <c r="C311" s="5">
        <v>38.274999999999999</v>
      </c>
      <c r="D311" s="5">
        <v>38.274999999999999</v>
      </c>
      <c r="E311" s="5">
        <v>40.790999999999997</v>
      </c>
      <c r="F311" s="5">
        <v>1</v>
      </c>
      <c r="G311" s="5" t="s">
        <v>431</v>
      </c>
      <c r="H311" s="5" t="s">
        <v>431</v>
      </c>
      <c r="I311" s="5">
        <v>80</v>
      </c>
      <c r="J311" s="10">
        <f t="shared" si="9"/>
        <v>1</v>
      </c>
      <c r="K311" s="14" t="s">
        <v>848</v>
      </c>
      <c r="L311" s="12">
        <f t="shared" si="8"/>
        <v>1</v>
      </c>
    </row>
    <row r="312" spans="1:12" x14ac:dyDescent="0.3">
      <c r="A312" s="5">
        <v>3</v>
      </c>
      <c r="B312" s="5">
        <v>6</v>
      </c>
      <c r="C312" s="5">
        <v>2.657</v>
      </c>
      <c r="D312" s="5">
        <v>12.138</v>
      </c>
      <c r="E312" s="5">
        <v>20.600999999999999</v>
      </c>
      <c r="F312" s="5">
        <v>2</v>
      </c>
      <c r="G312" s="5" t="s">
        <v>431</v>
      </c>
      <c r="H312" s="5" t="s">
        <v>431</v>
      </c>
      <c r="I312" s="5">
        <v>84</v>
      </c>
      <c r="J312" s="10">
        <f t="shared" si="9"/>
        <v>1</v>
      </c>
      <c r="K312" s="14" t="s">
        <v>856</v>
      </c>
      <c r="L312" s="12">
        <f t="shared" si="8"/>
        <v>1</v>
      </c>
    </row>
    <row r="313" spans="1:12" x14ac:dyDescent="0.3">
      <c r="A313" s="5">
        <v>3</v>
      </c>
      <c r="B313" s="5">
        <v>6</v>
      </c>
      <c r="C313" s="5">
        <v>29.370999999999999</v>
      </c>
      <c r="D313" s="5">
        <v>37.183</v>
      </c>
      <c r="E313" s="5">
        <v>40.1</v>
      </c>
      <c r="F313" s="5">
        <v>2</v>
      </c>
      <c r="G313" s="5" t="s">
        <v>434</v>
      </c>
      <c r="H313" s="5" t="s">
        <v>431</v>
      </c>
      <c r="I313" s="5">
        <v>55</v>
      </c>
      <c r="J313" s="10">
        <f t="shared" si="9"/>
        <v>1</v>
      </c>
      <c r="K313" s="14" t="s">
        <v>864</v>
      </c>
      <c r="L313" s="12">
        <f t="shared" si="8"/>
        <v>0</v>
      </c>
    </row>
    <row r="314" spans="1:12" x14ac:dyDescent="0.3">
      <c r="A314" s="5">
        <v>3</v>
      </c>
      <c r="B314" s="5">
        <v>6</v>
      </c>
      <c r="C314" s="5">
        <v>103.751</v>
      </c>
      <c r="D314" s="5">
        <v>103.751</v>
      </c>
      <c r="E314" s="5">
        <v>105.762</v>
      </c>
      <c r="F314" s="5">
        <v>1</v>
      </c>
      <c r="G314" s="5" t="s">
        <v>434</v>
      </c>
      <c r="H314" s="5" t="s">
        <v>431</v>
      </c>
      <c r="I314" s="5">
        <v>80</v>
      </c>
      <c r="J314" s="10">
        <f t="shared" si="9"/>
        <v>1</v>
      </c>
      <c r="K314" s="14" t="s">
        <v>870</v>
      </c>
      <c r="L314" s="12">
        <f t="shared" si="8"/>
        <v>0</v>
      </c>
    </row>
    <row r="315" spans="1:12" x14ac:dyDescent="0.3">
      <c r="A315" s="5">
        <v>3</v>
      </c>
      <c r="B315" s="5">
        <v>6</v>
      </c>
      <c r="C315" s="5">
        <v>4.38</v>
      </c>
      <c r="D315" s="5">
        <v>8.0259999999999998</v>
      </c>
      <c r="E315" s="5">
        <v>9.1590000000000007</v>
      </c>
      <c r="F315" s="5">
        <v>4</v>
      </c>
      <c r="G315" s="5" t="s">
        <v>434</v>
      </c>
      <c r="H315" s="5" t="s">
        <v>431</v>
      </c>
      <c r="I315" s="5">
        <v>92</v>
      </c>
      <c r="J315" s="10">
        <f t="shared" si="9"/>
        <v>1</v>
      </c>
      <c r="K315" s="14" t="s">
        <v>877</v>
      </c>
      <c r="L315" s="12">
        <f t="shared" si="8"/>
        <v>0</v>
      </c>
    </row>
    <row r="316" spans="1:12" x14ac:dyDescent="0.3">
      <c r="A316" s="5">
        <v>3</v>
      </c>
      <c r="B316" s="5">
        <v>6</v>
      </c>
      <c r="C316" s="5">
        <v>26.161999999999999</v>
      </c>
      <c r="D316" s="5">
        <v>26.161999999999999</v>
      </c>
      <c r="E316" s="5">
        <v>28.684999999999999</v>
      </c>
      <c r="F316" s="5">
        <v>1</v>
      </c>
      <c r="G316" s="5" t="s">
        <v>434</v>
      </c>
      <c r="H316" s="5" t="s">
        <v>431</v>
      </c>
      <c r="I316" s="5">
        <v>68</v>
      </c>
      <c r="J316" s="10">
        <f t="shared" si="9"/>
        <v>1</v>
      </c>
      <c r="K316" s="14" t="s">
        <v>885</v>
      </c>
      <c r="L316" s="12">
        <f t="shared" si="8"/>
        <v>0</v>
      </c>
    </row>
    <row r="317" spans="1:12" x14ac:dyDescent="0.3">
      <c r="A317" s="5">
        <v>3</v>
      </c>
      <c r="B317" s="5">
        <v>6</v>
      </c>
      <c r="C317" s="5">
        <v>58.753</v>
      </c>
      <c r="D317" s="5">
        <v>58.753</v>
      </c>
      <c r="E317" s="5">
        <v>60.024000000000001</v>
      </c>
      <c r="F317" s="5">
        <v>1</v>
      </c>
      <c r="G317" s="5" t="s">
        <v>434</v>
      </c>
      <c r="H317" s="5" t="s">
        <v>431</v>
      </c>
      <c r="I317" s="5">
        <v>80</v>
      </c>
      <c r="J317" s="10">
        <f t="shared" si="9"/>
        <v>1</v>
      </c>
      <c r="K317" s="14" t="s">
        <v>892</v>
      </c>
      <c r="L317" s="12">
        <f t="shared" si="8"/>
        <v>0</v>
      </c>
    </row>
    <row r="318" spans="1:12" x14ac:dyDescent="0.3">
      <c r="A318" s="5">
        <v>3</v>
      </c>
      <c r="B318" s="5">
        <v>6</v>
      </c>
      <c r="C318" s="5">
        <v>7.3550000000000004</v>
      </c>
      <c r="D318" s="5">
        <v>7.3550000000000004</v>
      </c>
      <c r="E318" s="5">
        <v>8.7829999999999995</v>
      </c>
      <c r="F318" s="5">
        <v>1</v>
      </c>
      <c r="G318" s="5" t="s">
        <v>434</v>
      </c>
      <c r="H318" s="5" t="s">
        <v>431</v>
      </c>
      <c r="I318" s="5">
        <v>100</v>
      </c>
      <c r="J318" s="10">
        <f t="shared" si="9"/>
        <v>1</v>
      </c>
      <c r="K318" s="14" t="s">
        <v>900</v>
      </c>
      <c r="L318" s="12">
        <f t="shared" si="8"/>
        <v>0</v>
      </c>
    </row>
    <row r="319" spans="1:12" x14ac:dyDescent="0.3">
      <c r="A319" s="5">
        <v>3</v>
      </c>
      <c r="B319" s="5">
        <v>6</v>
      </c>
      <c r="C319" s="5">
        <v>30.341999999999999</v>
      </c>
      <c r="D319" s="5">
        <v>30.341999999999999</v>
      </c>
      <c r="E319" s="5">
        <v>32.877000000000002</v>
      </c>
      <c r="F319" s="5">
        <v>1</v>
      </c>
      <c r="G319" s="5" t="s">
        <v>431</v>
      </c>
      <c r="H319" s="5" t="s">
        <v>431</v>
      </c>
      <c r="I319" s="5">
        <v>71</v>
      </c>
      <c r="J319" s="10">
        <f t="shared" si="9"/>
        <v>0</v>
      </c>
      <c r="K319" s="14"/>
      <c r="L319" s="12">
        <f t="shared" si="8"/>
        <v>1</v>
      </c>
    </row>
    <row r="320" spans="1:12" x14ac:dyDescent="0.3">
      <c r="A320" s="5">
        <v>3</v>
      </c>
      <c r="B320" s="5">
        <v>6</v>
      </c>
      <c r="C320" s="5">
        <v>0.61599999999999999</v>
      </c>
      <c r="D320" s="5">
        <v>2.9</v>
      </c>
      <c r="E320" s="5">
        <v>6.0259999999999998</v>
      </c>
      <c r="F320" s="5">
        <v>4</v>
      </c>
      <c r="G320" s="5" t="s">
        <v>431</v>
      </c>
      <c r="H320" s="5" t="s">
        <v>431</v>
      </c>
      <c r="I320" s="5">
        <v>70</v>
      </c>
      <c r="J320" s="10">
        <f t="shared" si="9"/>
        <v>0</v>
      </c>
      <c r="K320" s="14"/>
      <c r="L320" s="12">
        <f t="shared" si="8"/>
        <v>1</v>
      </c>
    </row>
    <row r="321" spans="1:12" x14ac:dyDescent="0.3">
      <c r="A321" s="5">
        <v>3</v>
      </c>
      <c r="B321" s="5">
        <v>6</v>
      </c>
      <c r="C321" s="5">
        <v>7.2169999999999996</v>
      </c>
      <c r="D321" s="5">
        <v>7.2169999999999996</v>
      </c>
      <c r="E321" s="5">
        <v>8.7690000000000001</v>
      </c>
      <c r="F321" s="5">
        <v>1</v>
      </c>
      <c r="G321" s="5" t="s">
        <v>431</v>
      </c>
      <c r="H321" s="5" t="s">
        <v>431</v>
      </c>
      <c r="I321" s="5">
        <v>80</v>
      </c>
      <c r="J321" s="10">
        <f t="shared" si="9"/>
        <v>1</v>
      </c>
      <c r="K321" s="14" t="s">
        <v>1170</v>
      </c>
      <c r="L321" s="12">
        <f t="shared" si="8"/>
        <v>1</v>
      </c>
    </row>
    <row r="322" spans="1:12" x14ac:dyDescent="0.3">
      <c r="A322" s="5">
        <v>3</v>
      </c>
      <c r="B322" s="5">
        <v>6</v>
      </c>
      <c r="C322" s="5">
        <v>12.521000000000001</v>
      </c>
      <c r="D322" s="5">
        <v>28.183</v>
      </c>
      <c r="E322" s="5">
        <v>73.399000000000001</v>
      </c>
      <c r="F322" s="5">
        <v>5</v>
      </c>
      <c r="G322" s="5" t="s">
        <v>434</v>
      </c>
      <c r="H322" s="5" t="s">
        <v>431</v>
      </c>
      <c r="I322" s="5">
        <v>90</v>
      </c>
      <c r="J322" s="18">
        <v>1</v>
      </c>
      <c r="K322" s="5" t="s">
        <v>1222</v>
      </c>
      <c r="L322" s="12">
        <f t="shared" si="8"/>
        <v>0</v>
      </c>
    </row>
    <row r="323" spans="1:12" x14ac:dyDescent="0.3">
      <c r="A323" s="5">
        <v>3</v>
      </c>
      <c r="B323" s="5">
        <v>6</v>
      </c>
      <c r="C323" s="5">
        <v>185.24600000000001</v>
      </c>
      <c r="D323" s="5">
        <v>185.24600000000001</v>
      </c>
      <c r="E323" s="5">
        <v>257.31700000000001</v>
      </c>
      <c r="F323" s="5">
        <v>1</v>
      </c>
      <c r="G323" s="5" t="s">
        <v>431</v>
      </c>
      <c r="H323" s="5" t="s">
        <v>431</v>
      </c>
      <c r="I323" s="5">
        <v>86</v>
      </c>
      <c r="J323" s="18">
        <v>1</v>
      </c>
      <c r="K323" s="5" t="s">
        <v>1229</v>
      </c>
      <c r="L323" s="12">
        <f t="shared" si="8"/>
        <v>1</v>
      </c>
    </row>
    <row r="324" spans="1:12" x14ac:dyDescent="0.3">
      <c r="A324" s="5">
        <v>3</v>
      </c>
      <c r="B324" s="5">
        <v>7</v>
      </c>
      <c r="C324" s="5">
        <v>2.8239999999999998</v>
      </c>
      <c r="D324" s="5">
        <v>2.8239999999999998</v>
      </c>
      <c r="E324" s="5">
        <v>3.9260000000000002</v>
      </c>
      <c r="F324" s="5">
        <v>1</v>
      </c>
      <c r="G324" s="5" t="s">
        <v>431</v>
      </c>
      <c r="H324" s="5" t="s">
        <v>434</v>
      </c>
      <c r="I324" s="5">
        <v>56</v>
      </c>
      <c r="J324" s="10">
        <f t="shared" si="9"/>
        <v>0</v>
      </c>
      <c r="K324" s="14"/>
      <c r="L324" s="12">
        <f t="shared" si="8"/>
        <v>0</v>
      </c>
    </row>
    <row r="325" spans="1:12" x14ac:dyDescent="0.3">
      <c r="A325" s="5">
        <v>3</v>
      </c>
      <c r="B325" s="5">
        <v>7</v>
      </c>
      <c r="C325" s="5">
        <v>16.372</v>
      </c>
      <c r="D325" s="5">
        <v>16.372</v>
      </c>
      <c r="E325" s="5">
        <v>19.376000000000001</v>
      </c>
      <c r="F325" s="5">
        <v>1</v>
      </c>
      <c r="G325" s="5" t="s">
        <v>434</v>
      </c>
      <c r="H325" s="5" t="s">
        <v>434</v>
      </c>
      <c r="I325" s="5">
        <v>100</v>
      </c>
      <c r="J325" s="10">
        <f t="shared" si="9"/>
        <v>1</v>
      </c>
      <c r="K325" s="14" t="s">
        <v>842</v>
      </c>
      <c r="L325" s="12">
        <f t="shared" si="8"/>
        <v>1</v>
      </c>
    </row>
    <row r="326" spans="1:12" x14ac:dyDescent="0.3">
      <c r="A326" s="5">
        <v>3</v>
      </c>
      <c r="B326" s="5">
        <v>7</v>
      </c>
      <c r="C326" s="5">
        <v>109.866</v>
      </c>
      <c r="D326" s="5">
        <v>109.866</v>
      </c>
      <c r="E326" s="5">
        <v>115.205</v>
      </c>
      <c r="F326" s="5">
        <v>1</v>
      </c>
      <c r="G326" s="5" t="s">
        <v>434</v>
      </c>
      <c r="H326" s="5" t="s">
        <v>434</v>
      </c>
      <c r="I326" s="5">
        <v>80</v>
      </c>
      <c r="J326" s="10">
        <f t="shared" si="9"/>
        <v>1</v>
      </c>
      <c r="K326" s="14" t="s">
        <v>849</v>
      </c>
      <c r="L326" s="12">
        <f t="shared" si="8"/>
        <v>1</v>
      </c>
    </row>
    <row r="327" spans="1:12" x14ac:dyDescent="0.3">
      <c r="A327" s="5">
        <v>3</v>
      </c>
      <c r="B327" s="5">
        <v>7</v>
      </c>
      <c r="C327" s="5">
        <v>64.106999999999999</v>
      </c>
      <c r="D327" s="5">
        <v>64.106999999999999</v>
      </c>
      <c r="E327" s="5">
        <v>65.356999999999999</v>
      </c>
      <c r="F327" s="5">
        <v>1</v>
      </c>
      <c r="G327" s="5" t="s">
        <v>434</v>
      </c>
      <c r="H327" s="5" t="s">
        <v>434</v>
      </c>
      <c r="I327" s="5">
        <v>81</v>
      </c>
      <c r="J327" s="10">
        <f t="shared" si="9"/>
        <v>1</v>
      </c>
      <c r="K327" s="14" t="s">
        <v>857</v>
      </c>
      <c r="L327" s="12">
        <f t="shared" si="8"/>
        <v>1</v>
      </c>
    </row>
    <row r="328" spans="1:12" x14ac:dyDescent="0.3">
      <c r="A328" s="5">
        <v>3</v>
      </c>
      <c r="B328" s="5">
        <v>7</v>
      </c>
      <c r="C328" s="5">
        <v>29.837</v>
      </c>
      <c r="D328" s="5">
        <v>29.837</v>
      </c>
      <c r="E328" s="5">
        <v>31.265000000000001</v>
      </c>
      <c r="F328" s="5">
        <v>1</v>
      </c>
      <c r="G328" s="5" t="s">
        <v>431</v>
      </c>
      <c r="H328" s="5" t="s">
        <v>434</v>
      </c>
      <c r="I328" s="5">
        <v>51</v>
      </c>
      <c r="J328" s="10">
        <f t="shared" si="9"/>
        <v>1</v>
      </c>
      <c r="K328" s="14" t="s">
        <v>865</v>
      </c>
      <c r="L328" s="12">
        <f t="shared" si="8"/>
        <v>0</v>
      </c>
    </row>
    <row r="329" spans="1:12" x14ac:dyDescent="0.3">
      <c r="A329" s="5">
        <v>3</v>
      </c>
      <c r="B329" s="5">
        <v>7</v>
      </c>
      <c r="C329" s="5">
        <v>31.225999999999999</v>
      </c>
      <c r="D329" s="5">
        <v>31.225999999999999</v>
      </c>
      <c r="E329" s="5">
        <v>32.862000000000002</v>
      </c>
      <c r="F329" s="5">
        <v>1</v>
      </c>
      <c r="G329" s="5" t="s">
        <v>434</v>
      </c>
      <c r="H329" s="5" t="s">
        <v>434</v>
      </c>
      <c r="I329" s="5">
        <v>80</v>
      </c>
      <c r="J329" s="10">
        <f t="shared" si="9"/>
        <v>1</v>
      </c>
      <c r="K329" s="14" t="s">
        <v>871</v>
      </c>
      <c r="L329" s="12">
        <f t="shared" si="8"/>
        <v>1</v>
      </c>
    </row>
    <row r="330" spans="1:12" x14ac:dyDescent="0.3">
      <c r="A330" s="5">
        <v>3</v>
      </c>
      <c r="B330" s="5">
        <v>7</v>
      </c>
      <c r="C330" s="5">
        <v>1.4610000000000001</v>
      </c>
      <c r="D330" s="5">
        <v>10.864000000000001</v>
      </c>
      <c r="E330" s="5">
        <v>12.199</v>
      </c>
      <c r="F330" s="5">
        <v>8</v>
      </c>
      <c r="G330" s="5" t="s">
        <v>431</v>
      </c>
      <c r="H330" s="5" t="s">
        <v>434</v>
      </c>
      <c r="I330" s="5">
        <v>58</v>
      </c>
      <c r="J330" s="10">
        <f t="shared" si="9"/>
        <v>1</v>
      </c>
      <c r="K330" s="14" t="s">
        <v>878</v>
      </c>
      <c r="L330" s="12">
        <f t="shared" si="8"/>
        <v>0</v>
      </c>
    </row>
    <row r="331" spans="1:12" x14ac:dyDescent="0.3">
      <c r="A331" s="5">
        <v>3</v>
      </c>
      <c r="B331" s="5">
        <v>7</v>
      </c>
      <c r="C331" s="5">
        <v>8.5180000000000007</v>
      </c>
      <c r="D331" s="5">
        <v>75.992999999999995</v>
      </c>
      <c r="E331" s="5">
        <v>82.265000000000001</v>
      </c>
      <c r="F331" s="5">
        <v>2</v>
      </c>
      <c r="G331" s="5" t="s">
        <v>431</v>
      </c>
      <c r="H331" s="5" t="s">
        <v>434</v>
      </c>
      <c r="I331" s="5">
        <v>84</v>
      </c>
      <c r="J331" s="10">
        <f t="shared" si="9"/>
        <v>1</v>
      </c>
      <c r="K331" s="14" t="s">
        <v>886</v>
      </c>
      <c r="L331" s="12">
        <f t="shared" si="8"/>
        <v>0</v>
      </c>
    </row>
    <row r="332" spans="1:12" x14ac:dyDescent="0.3">
      <c r="A332" s="5">
        <v>3</v>
      </c>
      <c r="B332" s="5">
        <v>7</v>
      </c>
      <c r="C332" s="5">
        <v>125.651</v>
      </c>
      <c r="D332" s="5">
        <v>125.651</v>
      </c>
      <c r="E332" s="5">
        <v>126.422</v>
      </c>
      <c r="F332" s="5">
        <v>1</v>
      </c>
      <c r="G332" s="5" t="s">
        <v>434</v>
      </c>
      <c r="H332" s="5" t="s">
        <v>434</v>
      </c>
      <c r="I332" s="5">
        <v>90</v>
      </c>
      <c r="J332" s="10">
        <f t="shared" si="9"/>
        <v>1</v>
      </c>
      <c r="K332" s="14" t="s">
        <v>893</v>
      </c>
      <c r="L332" s="12">
        <f t="shared" si="8"/>
        <v>1</v>
      </c>
    </row>
    <row r="333" spans="1:12" x14ac:dyDescent="0.3">
      <c r="A333" s="5">
        <v>3</v>
      </c>
      <c r="B333" s="5">
        <v>7</v>
      </c>
      <c r="C333" s="5">
        <v>16.02</v>
      </c>
      <c r="D333" s="5">
        <v>16.02</v>
      </c>
      <c r="E333" s="5">
        <v>19.802</v>
      </c>
      <c r="F333" s="5">
        <v>1</v>
      </c>
      <c r="G333" s="5" t="s">
        <v>431</v>
      </c>
      <c r="H333" s="5" t="s">
        <v>434</v>
      </c>
      <c r="I333" s="5">
        <v>72</v>
      </c>
      <c r="J333" s="10">
        <f t="shared" si="9"/>
        <v>1</v>
      </c>
      <c r="K333" s="14" t="s">
        <v>901</v>
      </c>
      <c r="L333" s="12">
        <f t="shared" si="8"/>
        <v>0</v>
      </c>
    </row>
    <row r="334" spans="1:12" x14ac:dyDescent="0.3">
      <c r="A334" s="5">
        <v>3</v>
      </c>
      <c r="B334" s="5">
        <v>7</v>
      </c>
      <c r="C334" s="5">
        <v>31.198</v>
      </c>
      <c r="D334" s="5">
        <v>31.198</v>
      </c>
      <c r="E334" s="5">
        <v>33.009</v>
      </c>
      <c r="F334" s="5">
        <v>1</v>
      </c>
      <c r="G334" s="5" t="s">
        <v>434</v>
      </c>
      <c r="H334" s="5" t="s">
        <v>434</v>
      </c>
      <c r="I334" s="5">
        <v>70</v>
      </c>
      <c r="J334" s="10">
        <f t="shared" si="9"/>
        <v>1</v>
      </c>
      <c r="K334" s="14" t="s">
        <v>905</v>
      </c>
      <c r="L334" s="12">
        <f t="shared" si="8"/>
        <v>1</v>
      </c>
    </row>
    <row r="335" spans="1:12" x14ac:dyDescent="0.3">
      <c r="A335" s="5">
        <v>3</v>
      </c>
      <c r="B335" s="5">
        <v>7</v>
      </c>
      <c r="C335" s="5">
        <v>0.41199999999999998</v>
      </c>
      <c r="D335" s="5">
        <v>0.41199999999999998</v>
      </c>
      <c r="E335" s="5">
        <v>1.901</v>
      </c>
      <c r="F335" s="5">
        <v>1</v>
      </c>
      <c r="G335" s="5" t="s">
        <v>431</v>
      </c>
      <c r="H335" s="5" t="s">
        <v>434</v>
      </c>
      <c r="I335" s="5">
        <v>77</v>
      </c>
      <c r="J335" s="10">
        <f t="shared" si="9"/>
        <v>0</v>
      </c>
      <c r="K335" s="14"/>
      <c r="L335" s="12">
        <f t="shared" si="8"/>
        <v>0</v>
      </c>
    </row>
    <row r="336" spans="1:12" x14ac:dyDescent="0.3">
      <c r="A336" s="5">
        <v>3</v>
      </c>
      <c r="B336" s="5">
        <v>7</v>
      </c>
      <c r="C336" s="5">
        <v>11.129</v>
      </c>
      <c r="D336" s="5">
        <v>13.199</v>
      </c>
      <c r="E336" s="5">
        <v>14.122</v>
      </c>
      <c r="F336" s="5">
        <v>2</v>
      </c>
      <c r="G336" s="5" t="s">
        <v>434</v>
      </c>
      <c r="H336" s="5" t="s">
        <v>434</v>
      </c>
      <c r="I336" s="5">
        <v>90</v>
      </c>
      <c r="J336" s="10">
        <f t="shared" si="9"/>
        <v>1</v>
      </c>
      <c r="K336" s="14" t="s">
        <v>1171</v>
      </c>
      <c r="L336" s="12">
        <f t="shared" si="8"/>
        <v>1</v>
      </c>
    </row>
    <row r="337" spans="1:12" x14ac:dyDescent="0.3">
      <c r="A337" s="5">
        <v>3</v>
      </c>
      <c r="B337" s="5">
        <v>7</v>
      </c>
      <c r="C337" s="5">
        <v>27.091999999999999</v>
      </c>
      <c r="D337" s="5">
        <v>55.252000000000002</v>
      </c>
      <c r="E337" s="5">
        <v>55.658999999999999</v>
      </c>
      <c r="F337" s="5">
        <v>2</v>
      </c>
      <c r="G337" s="5" t="s">
        <v>434</v>
      </c>
      <c r="H337" s="5" t="s">
        <v>434</v>
      </c>
      <c r="I337" s="5">
        <v>95</v>
      </c>
      <c r="J337" s="18">
        <v>1</v>
      </c>
      <c r="K337" s="5" t="s">
        <v>1223</v>
      </c>
      <c r="L337" s="12">
        <f t="shared" si="8"/>
        <v>1</v>
      </c>
    </row>
    <row r="338" spans="1:12" x14ac:dyDescent="0.3">
      <c r="A338" s="5">
        <v>3</v>
      </c>
      <c r="B338" s="5">
        <v>7</v>
      </c>
      <c r="C338" s="5">
        <v>142.35599999999999</v>
      </c>
      <c r="D338" s="5">
        <v>142.35599999999999</v>
      </c>
      <c r="E338" s="5">
        <v>320.87599999999998</v>
      </c>
      <c r="F338" s="5">
        <v>1</v>
      </c>
      <c r="G338" s="5" t="s">
        <v>434</v>
      </c>
      <c r="H338" s="5" t="s">
        <v>434</v>
      </c>
      <c r="I338" s="5">
        <v>82</v>
      </c>
      <c r="J338" s="18">
        <v>1</v>
      </c>
      <c r="K338" s="5" t="s">
        <v>1230</v>
      </c>
      <c r="L338" s="12">
        <f t="shared" si="8"/>
        <v>1</v>
      </c>
    </row>
    <row r="339" spans="1:12" x14ac:dyDescent="0.3">
      <c r="A339" s="5">
        <v>3</v>
      </c>
      <c r="B339" s="5">
        <v>8</v>
      </c>
      <c r="C339" s="5">
        <v>2.9689999999999999</v>
      </c>
      <c r="D339" s="5">
        <v>2.9689999999999999</v>
      </c>
      <c r="E339" s="5">
        <v>4.7949999999999999</v>
      </c>
      <c r="F339" s="5">
        <v>1</v>
      </c>
      <c r="G339" s="5" t="s">
        <v>431</v>
      </c>
      <c r="H339" s="5" t="s">
        <v>434</v>
      </c>
      <c r="I339" s="5">
        <v>59</v>
      </c>
      <c r="J339" s="10">
        <f t="shared" si="9"/>
        <v>0</v>
      </c>
      <c r="K339" s="14"/>
      <c r="L339" s="12">
        <f t="shared" si="8"/>
        <v>0</v>
      </c>
    </row>
    <row r="340" spans="1:12" x14ac:dyDescent="0.3">
      <c r="A340" s="5">
        <v>3</v>
      </c>
      <c r="B340" s="5">
        <v>8</v>
      </c>
      <c r="C340" s="5">
        <v>23.983000000000001</v>
      </c>
      <c r="D340" s="5">
        <v>23.983000000000001</v>
      </c>
      <c r="E340" s="5">
        <v>35.042999999999999</v>
      </c>
      <c r="F340" s="5">
        <v>1</v>
      </c>
      <c r="G340" s="5" t="s">
        <v>434</v>
      </c>
      <c r="H340" s="5" t="s">
        <v>434</v>
      </c>
      <c r="I340" s="5">
        <v>100</v>
      </c>
      <c r="J340" s="10">
        <f t="shared" si="9"/>
        <v>0</v>
      </c>
      <c r="K340" s="14"/>
      <c r="L340" s="12">
        <f t="shared" si="8"/>
        <v>1</v>
      </c>
    </row>
    <row r="341" spans="1:12" x14ac:dyDescent="0.3">
      <c r="A341" s="5">
        <v>3</v>
      </c>
      <c r="B341" s="5">
        <v>8</v>
      </c>
      <c r="C341" s="5">
        <v>74.703000000000003</v>
      </c>
      <c r="D341" s="5">
        <v>74.703000000000003</v>
      </c>
      <c r="E341" s="5">
        <v>77.099000000000004</v>
      </c>
      <c r="F341" s="5">
        <v>1</v>
      </c>
      <c r="G341" s="5" t="s">
        <v>434</v>
      </c>
      <c r="H341" s="5" t="s">
        <v>434</v>
      </c>
      <c r="I341" s="5">
        <v>86</v>
      </c>
      <c r="J341" s="10">
        <f t="shared" si="9"/>
        <v>1</v>
      </c>
      <c r="K341" s="14" t="s">
        <v>850</v>
      </c>
      <c r="L341" s="12">
        <f t="shared" si="8"/>
        <v>1</v>
      </c>
    </row>
    <row r="342" spans="1:12" x14ac:dyDescent="0.3">
      <c r="A342" s="5">
        <v>3</v>
      </c>
      <c r="B342" s="5">
        <v>8</v>
      </c>
      <c r="C342" s="5">
        <v>27.46</v>
      </c>
      <c r="D342" s="5">
        <v>27.46</v>
      </c>
      <c r="E342" s="5">
        <v>29.074000000000002</v>
      </c>
      <c r="F342" s="5">
        <v>1</v>
      </c>
      <c r="G342" s="5" t="s">
        <v>431</v>
      </c>
      <c r="H342" s="5" t="s">
        <v>434</v>
      </c>
      <c r="I342" s="5">
        <v>61</v>
      </c>
      <c r="J342" s="10">
        <f t="shared" si="9"/>
        <v>1</v>
      </c>
      <c r="K342" s="14" t="s">
        <v>858</v>
      </c>
      <c r="L342" s="12">
        <f t="shared" si="8"/>
        <v>0</v>
      </c>
    </row>
    <row r="343" spans="1:12" x14ac:dyDescent="0.3">
      <c r="A343" s="5">
        <v>3</v>
      </c>
      <c r="B343" s="5">
        <v>8</v>
      </c>
      <c r="C343" s="5">
        <v>8.85</v>
      </c>
      <c r="D343" s="5">
        <v>36.139000000000003</v>
      </c>
      <c r="E343" s="5">
        <v>38.231000000000002</v>
      </c>
      <c r="F343" s="5">
        <v>7</v>
      </c>
      <c r="G343" s="5" t="s">
        <v>431</v>
      </c>
      <c r="H343" s="5" t="s">
        <v>434</v>
      </c>
      <c r="I343" s="5">
        <v>58</v>
      </c>
      <c r="J343" s="10">
        <f t="shared" si="9"/>
        <v>1</v>
      </c>
      <c r="K343" s="14" t="s">
        <v>866</v>
      </c>
      <c r="L343" s="12">
        <f t="shared" si="8"/>
        <v>0</v>
      </c>
    </row>
    <row r="344" spans="1:12" x14ac:dyDescent="0.3">
      <c r="A344" s="5">
        <v>3</v>
      </c>
      <c r="B344" s="5">
        <v>8</v>
      </c>
      <c r="C344" s="5">
        <v>91.076999999999998</v>
      </c>
      <c r="D344" s="5">
        <v>91.076999999999998</v>
      </c>
      <c r="E344" s="5">
        <v>104.57</v>
      </c>
      <c r="F344" s="5">
        <v>1</v>
      </c>
      <c r="G344" s="5" t="s">
        <v>434</v>
      </c>
      <c r="H344" s="5" t="s">
        <v>434</v>
      </c>
      <c r="I344" s="5">
        <v>70</v>
      </c>
      <c r="J344" s="10">
        <f t="shared" si="9"/>
        <v>0</v>
      </c>
      <c r="K344" s="14"/>
      <c r="L344" s="12">
        <f t="shared" ref="L344:L409" si="10">IF(G344=H344, 1, 0)</f>
        <v>1</v>
      </c>
    </row>
    <row r="345" spans="1:12" x14ac:dyDescent="0.3">
      <c r="A345" s="5">
        <v>3</v>
      </c>
      <c r="B345" s="5">
        <v>8</v>
      </c>
      <c r="C345" s="5">
        <v>5.2270000000000003</v>
      </c>
      <c r="D345" s="5">
        <v>6.6</v>
      </c>
      <c r="E345" s="5">
        <v>7.8869999999999996</v>
      </c>
      <c r="F345" s="5">
        <v>2</v>
      </c>
      <c r="G345" s="5" t="s">
        <v>431</v>
      </c>
      <c r="H345" s="5" t="s">
        <v>434</v>
      </c>
      <c r="I345" s="5">
        <v>63</v>
      </c>
      <c r="J345" s="10">
        <f t="shared" ref="J345:J410" si="11">IF(ISBLANK(K345), 0, 1)</f>
        <v>1</v>
      </c>
      <c r="K345" s="14" t="s">
        <v>879</v>
      </c>
      <c r="L345" s="12">
        <f t="shared" si="10"/>
        <v>0</v>
      </c>
    </row>
    <row r="346" spans="1:12" x14ac:dyDescent="0.3">
      <c r="A346" s="5">
        <v>3</v>
      </c>
      <c r="B346" s="5">
        <v>8</v>
      </c>
      <c r="C346" s="5">
        <v>8.9740000000000002</v>
      </c>
      <c r="D346" s="5">
        <v>8.9740000000000002</v>
      </c>
      <c r="E346" s="5">
        <v>14.201000000000001</v>
      </c>
      <c r="F346" s="5">
        <v>1</v>
      </c>
      <c r="G346" s="5" t="s">
        <v>431</v>
      </c>
      <c r="H346" s="5" t="s">
        <v>434</v>
      </c>
      <c r="I346" s="5">
        <v>72</v>
      </c>
      <c r="J346" s="10">
        <f t="shared" si="11"/>
        <v>1</v>
      </c>
      <c r="K346" s="14" t="s">
        <v>887</v>
      </c>
      <c r="L346" s="12">
        <f t="shared" si="10"/>
        <v>0</v>
      </c>
    </row>
    <row r="347" spans="1:12" x14ac:dyDescent="0.3">
      <c r="A347" s="5">
        <v>3</v>
      </c>
      <c r="B347" s="5">
        <v>8</v>
      </c>
      <c r="C347" s="5">
        <v>16.471</v>
      </c>
      <c r="D347" s="5">
        <v>16.471</v>
      </c>
      <c r="E347" s="5">
        <v>17.297000000000001</v>
      </c>
      <c r="F347" s="5">
        <v>1</v>
      </c>
      <c r="G347" s="5" t="s">
        <v>434</v>
      </c>
      <c r="H347" s="5" t="s">
        <v>434</v>
      </c>
      <c r="I347" s="5">
        <v>80</v>
      </c>
      <c r="J347" s="10">
        <f t="shared" si="11"/>
        <v>1</v>
      </c>
      <c r="K347" s="14" t="s">
        <v>894</v>
      </c>
      <c r="L347" s="12">
        <f t="shared" si="10"/>
        <v>1</v>
      </c>
    </row>
    <row r="348" spans="1:12" x14ac:dyDescent="0.3">
      <c r="A348" s="5">
        <v>3</v>
      </c>
      <c r="B348" s="5">
        <v>8</v>
      </c>
      <c r="C348" s="5">
        <v>10.17</v>
      </c>
      <c r="D348" s="5">
        <v>14.173999999999999</v>
      </c>
      <c r="E348" s="5">
        <v>15.89</v>
      </c>
      <c r="F348" s="5">
        <v>2</v>
      </c>
      <c r="G348" s="5" t="s">
        <v>431</v>
      </c>
      <c r="H348" s="5" t="s">
        <v>434</v>
      </c>
      <c r="I348" s="5">
        <v>87</v>
      </c>
      <c r="J348" s="10">
        <f t="shared" si="11"/>
        <v>1</v>
      </c>
      <c r="K348" s="14" t="s">
        <v>902</v>
      </c>
      <c r="L348" s="12">
        <f t="shared" si="10"/>
        <v>0</v>
      </c>
    </row>
    <row r="349" spans="1:12" x14ac:dyDescent="0.3">
      <c r="A349" s="5">
        <v>3</v>
      </c>
      <c r="B349" s="5">
        <v>8</v>
      </c>
      <c r="C349" s="5">
        <v>23.489000000000001</v>
      </c>
      <c r="D349" s="5">
        <v>23.489000000000001</v>
      </c>
      <c r="E349" s="5">
        <v>24.663</v>
      </c>
      <c r="F349" s="5">
        <v>1</v>
      </c>
      <c r="G349" s="5" t="s">
        <v>434</v>
      </c>
      <c r="H349" s="5" t="s">
        <v>434</v>
      </c>
      <c r="I349" s="5">
        <v>100</v>
      </c>
      <c r="J349" s="10">
        <f t="shared" si="11"/>
        <v>1</v>
      </c>
      <c r="K349" s="14" t="s">
        <v>906</v>
      </c>
      <c r="L349" s="12">
        <f t="shared" si="10"/>
        <v>1</v>
      </c>
    </row>
    <row r="350" spans="1:12" x14ac:dyDescent="0.3">
      <c r="A350" s="5">
        <v>3</v>
      </c>
      <c r="B350" s="5">
        <v>8</v>
      </c>
      <c r="C350" s="5">
        <v>0.14499999999999999</v>
      </c>
      <c r="D350" s="5">
        <v>0.14499999999999999</v>
      </c>
      <c r="E350" s="5">
        <v>0.94</v>
      </c>
      <c r="F350" s="5">
        <v>1</v>
      </c>
      <c r="G350" s="5" t="s">
        <v>434</v>
      </c>
      <c r="H350" s="5" t="s">
        <v>434</v>
      </c>
      <c r="I350" s="5">
        <v>73</v>
      </c>
      <c r="J350" s="10">
        <f t="shared" si="11"/>
        <v>0</v>
      </c>
      <c r="K350" s="14"/>
      <c r="L350" s="12">
        <f t="shared" si="10"/>
        <v>1</v>
      </c>
    </row>
    <row r="351" spans="1:12" x14ac:dyDescent="0.3">
      <c r="A351" s="5">
        <v>3</v>
      </c>
      <c r="B351" s="5">
        <v>8</v>
      </c>
      <c r="C351" s="5">
        <v>1.514</v>
      </c>
      <c r="D351" s="5">
        <v>5.99</v>
      </c>
      <c r="E351" s="5">
        <v>7.8010000000000002</v>
      </c>
      <c r="F351" s="5">
        <v>2</v>
      </c>
      <c r="G351" s="5" t="s">
        <v>434</v>
      </c>
      <c r="H351" s="5" t="s">
        <v>434</v>
      </c>
      <c r="I351" s="5">
        <v>84</v>
      </c>
      <c r="J351" s="10">
        <f t="shared" si="11"/>
        <v>1</v>
      </c>
      <c r="K351" s="14" t="s">
        <v>1172</v>
      </c>
      <c r="L351" s="12">
        <f t="shared" si="10"/>
        <v>1</v>
      </c>
    </row>
    <row r="352" spans="1:12" x14ac:dyDescent="0.3">
      <c r="A352" s="5">
        <v>3</v>
      </c>
      <c r="B352" s="5">
        <v>8</v>
      </c>
      <c r="C352" s="5">
        <v>11.492000000000001</v>
      </c>
      <c r="D352" s="5">
        <v>44.307000000000002</v>
      </c>
      <c r="E352" s="5">
        <v>64.387</v>
      </c>
      <c r="F352" s="5">
        <v>5</v>
      </c>
      <c r="G352" s="5" t="s">
        <v>434</v>
      </c>
      <c r="H352" s="5" t="s">
        <v>434</v>
      </c>
      <c r="I352" s="5">
        <v>95</v>
      </c>
      <c r="J352" s="18">
        <v>1</v>
      </c>
      <c r="K352" s="5" t="s">
        <v>1224</v>
      </c>
      <c r="L352" s="12">
        <f t="shared" si="10"/>
        <v>1</v>
      </c>
    </row>
    <row r="353" spans="1:12" x14ac:dyDescent="0.3">
      <c r="A353" s="5">
        <v>3</v>
      </c>
      <c r="B353" s="5">
        <v>8</v>
      </c>
      <c r="C353" s="5">
        <v>213.459</v>
      </c>
      <c r="D353" s="5">
        <v>213.459</v>
      </c>
      <c r="E353" s="5">
        <v>215.065</v>
      </c>
      <c r="F353" s="5">
        <v>1</v>
      </c>
      <c r="G353" s="5" t="s">
        <v>434</v>
      </c>
      <c r="H353" s="5" t="s">
        <v>434</v>
      </c>
      <c r="I353" s="5">
        <v>82</v>
      </c>
      <c r="J353" s="18">
        <v>1</v>
      </c>
      <c r="K353" s="5" t="s">
        <v>1231</v>
      </c>
      <c r="L353" s="12">
        <f t="shared" si="10"/>
        <v>1</v>
      </c>
    </row>
    <row r="354" spans="1:12" x14ac:dyDescent="0.3">
      <c r="A354" s="5">
        <v>4</v>
      </c>
      <c r="B354" s="5">
        <v>1</v>
      </c>
      <c r="C354" s="5">
        <v>40.5</v>
      </c>
      <c r="D354" s="5">
        <v>40.5</v>
      </c>
      <c r="E354" s="5">
        <v>47.783999999999999</v>
      </c>
      <c r="F354" s="5">
        <v>1</v>
      </c>
      <c r="G354" s="5" t="s">
        <v>434</v>
      </c>
      <c r="H354" s="5" t="s">
        <v>431</v>
      </c>
      <c r="I354" s="5">
        <v>30</v>
      </c>
      <c r="J354" s="10">
        <f t="shared" si="11"/>
        <v>1</v>
      </c>
      <c r="K354" s="14" t="s">
        <v>1022</v>
      </c>
      <c r="L354" s="12">
        <f t="shared" si="10"/>
        <v>0</v>
      </c>
    </row>
    <row r="355" spans="1:12" x14ac:dyDescent="0.3">
      <c r="A355" s="5">
        <v>4</v>
      </c>
      <c r="B355" s="5">
        <v>1</v>
      </c>
      <c r="C355" s="5">
        <v>16.457000000000001</v>
      </c>
      <c r="D355" s="5">
        <v>16.457000000000001</v>
      </c>
      <c r="E355" s="5">
        <v>19.178000000000001</v>
      </c>
      <c r="F355" s="5">
        <v>1</v>
      </c>
      <c r="G355" s="5" t="s">
        <v>431</v>
      </c>
      <c r="H355" s="5" t="s">
        <v>431</v>
      </c>
      <c r="I355" s="5">
        <v>81</v>
      </c>
      <c r="J355" s="10">
        <f t="shared" si="11"/>
        <v>0</v>
      </c>
      <c r="K355" s="14"/>
      <c r="L355" s="12">
        <f t="shared" si="10"/>
        <v>1</v>
      </c>
    </row>
    <row r="356" spans="1:12" x14ac:dyDescent="0.3">
      <c r="A356" s="5">
        <v>4</v>
      </c>
      <c r="B356" s="5">
        <v>1</v>
      </c>
      <c r="C356" s="5">
        <v>37.113</v>
      </c>
      <c r="D356" s="5">
        <v>37.113</v>
      </c>
      <c r="E356" s="5">
        <v>39.366999999999997</v>
      </c>
      <c r="F356" s="5">
        <v>1</v>
      </c>
      <c r="G356" s="5" t="s">
        <v>431</v>
      </c>
      <c r="H356" s="5" t="s">
        <v>431</v>
      </c>
      <c r="I356" s="5">
        <v>90</v>
      </c>
      <c r="J356" s="10">
        <f t="shared" si="11"/>
        <v>1</v>
      </c>
      <c r="K356" s="14" t="s">
        <v>1030</v>
      </c>
      <c r="L356" s="12">
        <f t="shared" si="10"/>
        <v>1</v>
      </c>
    </row>
    <row r="357" spans="1:12" x14ac:dyDescent="0.3">
      <c r="A357" s="5">
        <v>4</v>
      </c>
      <c r="B357" s="5">
        <v>1</v>
      </c>
      <c r="C357" s="5">
        <v>9.7850000000000001</v>
      </c>
      <c r="D357" s="5">
        <v>9.7850000000000001</v>
      </c>
      <c r="E357" s="5">
        <v>51.390999999999998</v>
      </c>
      <c r="F357" s="5">
        <v>1</v>
      </c>
      <c r="G357" s="5" t="s">
        <v>434</v>
      </c>
      <c r="H357" s="5" t="s">
        <v>431</v>
      </c>
      <c r="I357" s="5">
        <v>40</v>
      </c>
      <c r="J357" s="10">
        <f t="shared" si="11"/>
        <v>1</v>
      </c>
      <c r="K357" s="14" t="s">
        <v>1038</v>
      </c>
      <c r="L357" s="12">
        <f t="shared" si="10"/>
        <v>0</v>
      </c>
    </row>
    <row r="358" spans="1:12" x14ac:dyDescent="0.3">
      <c r="A358" s="5">
        <v>4</v>
      </c>
      <c r="B358" s="5">
        <v>1</v>
      </c>
      <c r="C358" s="5">
        <v>22.806000000000001</v>
      </c>
      <c r="D358" s="5">
        <v>193.166</v>
      </c>
      <c r="E358" s="5">
        <v>197.91800000000001</v>
      </c>
      <c r="F358" s="5">
        <v>6</v>
      </c>
      <c r="G358" s="5" t="s">
        <v>434</v>
      </c>
      <c r="H358" s="5" t="s">
        <v>431</v>
      </c>
      <c r="I358" s="5">
        <v>61</v>
      </c>
      <c r="J358" s="10">
        <f t="shared" si="11"/>
        <v>1</v>
      </c>
      <c r="K358" s="14" t="s">
        <v>1045</v>
      </c>
      <c r="L358" s="12">
        <f t="shared" si="10"/>
        <v>0</v>
      </c>
    </row>
    <row r="359" spans="1:12" x14ac:dyDescent="0.3">
      <c r="A359" s="5">
        <v>4</v>
      </c>
      <c r="B359" s="5">
        <v>1</v>
      </c>
      <c r="C359" s="5">
        <v>40.085000000000001</v>
      </c>
      <c r="D359" s="5">
        <v>128.584</v>
      </c>
      <c r="E359" s="5">
        <v>129.708</v>
      </c>
      <c r="F359" s="5">
        <v>4</v>
      </c>
      <c r="G359" s="5" t="s">
        <v>434</v>
      </c>
      <c r="H359" s="5" t="s">
        <v>431</v>
      </c>
      <c r="I359" s="5">
        <v>99</v>
      </c>
      <c r="J359" s="10">
        <f t="shared" si="11"/>
        <v>1</v>
      </c>
      <c r="K359" s="14" t="s">
        <v>1053</v>
      </c>
      <c r="L359" s="12">
        <f t="shared" si="10"/>
        <v>0</v>
      </c>
    </row>
    <row r="360" spans="1:12" x14ac:dyDescent="0.3">
      <c r="A360" s="5">
        <v>4</v>
      </c>
      <c r="B360" s="5">
        <v>1</v>
      </c>
      <c r="C360" s="5">
        <v>20.896000000000001</v>
      </c>
      <c r="D360" s="5">
        <v>20.896000000000001</v>
      </c>
      <c r="E360" s="5">
        <v>23.463000000000001</v>
      </c>
      <c r="F360" s="5">
        <v>1</v>
      </c>
      <c r="G360" s="5" t="s">
        <v>431</v>
      </c>
      <c r="H360" s="5" t="s">
        <v>431</v>
      </c>
      <c r="I360" s="5">
        <v>73</v>
      </c>
      <c r="J360" s="10">
        <f t="shared" si="11"/>
        <v>1</v>
      </c>
      <c r="K360" s="14" t="s">
        <v>1061</v>
      </c>
      <c r="L360" s="12">
        <f t="shared" si="10"/>
        <v>1</v>
      </c>
    </row>
    <row r="361" spans="1:12" x14ac:dyDescent="0.3">
      <c r="A361" s="5">
        <v>4</v>
      </c>
      <c r="B361" s="5">
        <v>1</v>
      </c>
      <c r="C361" s="5">
        <v>1.6850000000000001</v>
      </c>
      <c r="D361" s="5">
        <v>95.022000000000006</v>
      </c>
      <c r="E361" s="5">
        <v>96.546999999999997</v>
      </c>
      <c r="F361" s="5">
        <v>9</v>
      </c>
      <c r="G361" s="5" t="s">
        <v>434</v>
      </c>
      <c r="H361" s="5" t="s">
        <v>431</v>
      </c>
      <c r="I361" s="5">
        <v>81</v>
      </c>
      <c r="J361" s="10">
        <f t="shared" si="11"/>
        <v>1</v>
      </c>
      <c r="K361" s="14" t="s">
        <v>1068</v>
      </c>
      <c r="L361" s="12">
        <f t="shared" si="10"/>
        <v>0</v>
      </c>
    </row>
    <row r="362" spans="1:12" x14ac:dyDescent="0.3">
      <c r="A362" s="5">
        <v>4</v>
      </c>
      <c r="B362" s="5">
        <v>1</v>
      </c>
      <c r="C362" s="5">
        <v>142.22300000000001</v>
      </c>
      <c r="D362" s="5">
        <v>162.03700000000001</v>
      </c>
      <c r="E362" s="5">
        <v>174.45099999999999</v>
      </c>
      <c r="F362" s="5">
        <v>2</v>
      </c>
      <c r="G362" s="5" t="s">
        <v>431</v>
      </c>
      <c r="H362" s="5" t="s">
        <v>431</v>
      </c>
      <c r="I362" s="5">
        <v>66</v>
      </c>
      <c r="J362" s="10">
        <f t="shared" si="11"/>
        <v>1</v>
      </c>
      <c r="K362" s="14" t="s">
        <v>1076</v>
      </c>
      <c r="L362" s="12">
        <f t="shared" si="10"/>
        <v>1</v>
      </c>
    </row>
    <row r="363" spans="1:12" x14ac:dyDescent="0.3">
      <c r="A363" s="5">
        <v>4</v>
      </c>
      <c r="B363" s="5">
        <v>1</v>
      </c>
      <c r="C363" s="5">
        <v>145.09100000000001</v>
      </c>
      <c r="D363" s="5">
        <v>193.261</v>
      </c>
      <c r="E363" s="5">
        <v>193.95400000000001</v>
      </c>
      <c r="F363" s="5">
        <v>3</v>
      </c>
      <c r="G363" s="5" t="s">
        <v>431</v>
      </c>
      <c r="H363" s="5" t="s">
        <v>431</v>
      </c>
      <c r="I363" s="5">
        <v>60</v>
      </c>
      <c r="J363" s="10">
        <f t="shared" si="11"/>
        <v>1</v>
      </c>
      <c r="K363" s="14" t="s">
        <v>1084</v>
      </c>
      <c r="L363" s="12">
        <f t="shared" si="10"/>
        <v>1</v>
      </c>
    </row>
    <row r="364" spans="1:12" x14ac:dyDescent="0.3">
      <c r="A364" s="5">
        <v>4</v>
      </c>
      <c r="B364" s="5">
        <v>1</v>
      </c>
      <c r="C364" s="5">
        <v>34.832999999999998</v>
      </c>
      <c r="D364" s="5">
        <v>34.832999999999998</v>
      </c>
      <c r="E364" s="5">
        <v>36.808999999999997</v>
      </c>
      <c r="F364" s="5">
        <v>1</v>
      </c>
      <c r="G364" s="5" t="s">
        <v>431</v>
      </c>
      <c r="H364" s="5" t="s">
        <v>431</v>
      </c>
      <c r="I364" s="5">
        <v>85</v>
      </c>
      <c r="J364" s="10">
        <f t="shared" si="11"/>
        <v>1</v>
      </c>
      <c r="K364" s="14" t="s">
        <v>1092</v>
      </c>
      <c r="L364" s="12">
        <f t="shared" si="10"/>
        <v>1</v>
      </c>
    </row>
    <row r="365" spans="1:12" x14ac:dyDescent="0.3">
      <c r="A365" s="5">
        <v>4</v>
      </c>
      <c r="B365" s="5">
        <v>1</v>
      </c>
      <c r="C365" s="5">
        <v>15.476000000000001</v>
      </c>
      <c r="D365" s="5">
        <v>15.476000000000001</v>
      </c>
      <c r="E365" s="5">
        <v>17.001000000000001</v>
      </c>
      <c r="F365" s="5">
        <v>1</v>
      </c>
      <c r="G365" s="5" t="s">
        <v>434</v>
      </c>
      <c r="H365" s="5" t="s">
        <v>431</v>
      </c>
      <c r="I365" s="5">
        <v>71</v>
      </c>
      <c r="J365" s="10">
        <f t="shared" si="11"/>
        <v>1</v>
      </c>
      <c r="K365" s="14" t="s">
        <v>1192</v>
      </c>
      <c r="L365" s="12">
        <f t="shared" si="10"/>
        <v>0</v>
      </c>
    </row>
    <row r="366" spans="1:12" x14ac:dyDescent="0.3">
      <c r="A366" s="5">
        <v>4</v>
      </c>
      <c r="B366" s="5">
        <v>1</v>
      </c>
      <c r="C366" s="5">
        <v>40.033000000000001</v>
      </c>
      <c r="D366" s="5">
        <v>40.033000000000001</v>
      </c>
      <c r="E366" s="5">
        <v>44.031999999999996</v>
      </c>
      <c r="F366" s="5">
        <v>1</v>
      </c>
      <c r="G366" s="5" t="s">
        <v>431</v>
      </c>
      <c r="H366" s="5" t="s">
        <v>431</v>
      </c>
      <c r="I366" s="5">
        <v>80</v>
      </c>
      <c r="J366" s="10">
        <f t="shared" si="11"/>
        <v>1</v>
      </c>
      <c r="K366" s="14" t="s">
        <v>1186</v>
      </c>
      <c r="L366" s="12">
        <f t="shared" si="10"/>
        <v>1</v>
      </c>
    </row>
    <row r="367" spans="1:12" x14ac:dyDescent="0.3">
      <c r="A367" s="5">
        <v>4</v>
      </c>
      <c r="B367" s="5">
        <v>1</v>
      </c>
      <c r="C367" s="5">
        <v>30.233000000000001</v>
      </c>
      <c r="D367" s="5">
        <v>30.233000000000001</v>
      </c>
      <c r="E367" s="5">
        <v>31.63</v>
      </c>
      <c r="F367" s="5">
        <v>1</v>
      </c>
      <c r="G367" s="5" t="s">
        <v>431</v>
      </c>
      <c r="H367" s="5" t="s">
        <v>431</v>
      </c>
      <c r="I367" s="5">
        <v>81</v>
      </c>
      <c r="J367" s="10">
        <f t="shared" si="11"/>
        <v>1</v>
      </c>
      <c r="K367" s="14" t="s">
        <v>1178</v>
      </c>
      <c r="L367" s="12">
        <f t="shared" si="10"/>
        <v>1</v>
      </c>
    </row>
    <row r="368" spans="1:12" x14ac:dyDescent="0.3">
      <c r="A368" s="5">
        <v>4</v>
      </c>
      <c r="B368" s="5">
        <v>2</v>
      </c>
      <c r="C368" s="5">
        <v>626.005</v>
      </c>
      <c r="D368" s="5">
        <v>626.005</v>
      </c>
      <c r="E368" s="5">
        <v>627.43799999999999</v>
      </c>
      <c r="F368" s="5">
        <v>1</v>
      </c>
      <c r="G368" s="5" t="s">
        <v>431</v>
      </c>
      <c r="H368" s="5" t="s">
        <v>431</v>
      </c>
      <c r="I368" s="5">
        <v>90</v>
      </c>
      <c r="J368" s="10">
        <f t="shared" si="11"/>
        <v>1</v>
      </c>
      <c r="K368" s="14" t="s">
        <v>1023</v>
      </c>
      <c r="L368" s="12">
        <f t="shared" si="10"/>
        <v>1</v>
      </c>
    </row>
    <row r="369" spans="1:12" x14ac:dyDescent="0.3">
      <c r="A369" s="5">
        <v>4</v>
      </c>
      <c r="B369" s="5">
        <v>2</v>
      </c>
      <c r="C369" s="5">
        <v>7.0049999999999999</v>
      </c>
      <c r="D369" s="5">
        <v>7.0049999999999999</v>
      </c>
      <c r="E369" s="5">
        <v>8.1199999999999992</v>
      </c>
      <c r="F369" s="5">
        <v>1</v>
      </c>
      <c r="G369" s="5" t="s">
        <v>434</v>
      </c>
      <c r="H369" s="5" t="s">
        <v>431</v>
      </c>
      <c r="I369" s="5">
        <v>72</v>
      </c>
      <c r="J369" s="10">
        <f t="shared" si="11"/>
        <v>0</v>
      </c>
      <c r="K369" s="14"/>
      <c r="L369" s="12">
        <f t="shared" si="10"/>
        <v>0</v>
      </c>
    </row>
    <row r="370" spans="1:12" x14ac:dyDescent="0.3">
      <c r="A370" s="5">
        <v>4</v>
      </c>
      <c r="B370" s="5">
        <v>2</v>
      </c>
      <c r="C370" s="5">
        <v>44.710999999999999</v>
      </c>
      <c r="D370" s="5">
        <v>44.710999999999999</v>
      </c>
      <c r="E370" s="5">
        <v>49.603999999999999</v>
      </c>
      <c r="F370" s="5">
        <v>1</v>
      </c>
      <c r="G370" s="5" t="s">
        <v>431</v>
      </c>
      <c r="H370" s="5" t="s">
        <v>431</v>
      </c>
      <c r="I370" s="5">
        <v>85</v>
      </c>
      <c r="J370" s="10">
        <f t="shared" si="11"/>
        <v>1</v>
      </c>
      <c r="K370" s="14" t="s">
        <v>1031</v>
      </c>
      <c r="L370" s="12">
        <f t="shared" si="10"/>
        <v>1</v>
      </c>
    </row>
    <row r="371" spans="1:12" x14ac:dyDescent="0.3">
      <c r="A371" s="5">
        <v>4</v>
      </c>
      <c r="B371" s="5">
        <v>2</v>
      </c>
      <c r="C371" s="5">
        <v>10.95</v>
      </c>
      <c r="D371" s="5">
        <v>10.95</v>
      </c>
      <c r="E371" s="5">
        <v>25.564</v>
      </c>
      <c r="F371" s="5">
        <v>1</v>
      </c>
      <c r="G371" s="5" t="s">
        <v>431</v>
      </c>
      <c r="H371" s="5" t="s">
        <v>431</v>
      </c>
      <c r="I371" s="5">
        <v>71</v>
      </c>
      <c r="J371" s="10">
        <f t="shared" si="11"/>
        <v>1</v>
      </c>
      <c r="K371" s="14" t="s">
        <v>1039</v>
      </c>
      <c r="L371" s="12">
        <f t="shared" si="10"/>
        <v>1</v>
      </c>
    </row>
    <row r="372" spans="1:12" x14ac:dyDescent="0.3">
      <c r="A372" s="5">
        <v>4</v>
      </c>
      <c r="B372" s="5">
        <v>2</v>
      </c>
      <c r="C372" s="5">
        <v>8.0850000000000009</v>
      </c>
      <c r="D372" s="5">
        <v>201.07499999999999</v>
      </c>
      <c r="E372" s="5">
        <v>203.64099999999999</v>
      </c>
      <c r="F372" s="5">
        <v>4</v>
      </c>
      <c r="G372" s="5" t="s">
        <v>434</v>
      </c>
      <c r="H372" s="5" t="s">
        <v>431</v>
      </c>
      <c r="I372" s="5">
        <v>82</v>
      </c>
      <c r="J372" s="10">
        <f t="shared" si="11"/>
        <v>1</v>
      </c>
      <c r="K372" s="14" t="s">
        <v>1046</v>
      </c>
      <c r="L372" s="12">
        <f t="shared" si="10"/>
        <v>0</v>
      </c>
    </row>
    <row r="373" spans="1:12" x14ac:dyDescent="0.3">
      <c r="A373" s="5">
        <v>4</v>
      </c>
      <c r="B373" s="5">
        <v>2</v>
      </c>
      <c r="C373" s="5">
        <v>14.534000000000001</v>
      </c>
      <c r="D373" s="5">
        <v>14.534000000000001</v>
      </c>
      <c r="E373" s="5">
        <v>53.243000000000002</v>
      </c>
      <c r="F373" s="5">
        <v>1</v>
      </c>
      <c r="G373" s="5" t="s">
        <v>431</v>
      </c>
      <c r="H373" s="5" t="s">
        <v>431</v>
      </c>
      <c r="I373" s="5">
        <v>97</v>
      </c>
      <c r="J373" s="10">
        <f t="shared" si="11"/>
        <v>1</v>
      </c>
      <c r="K373" s="14" t="s">
        <v>1054</v>
      </c>
      <c r="L373" s="12">
        <f t="shared" si="10"/>
        <v>1</v>
      </c>
    </row>
    <row r="374" spans="1:12" x14ac:dyDescent="0.3">
      <c r="A374" s="5">
        <v>4</v>
      </c>
      <c r="B374" s="5">
        <v>2</v>
      </c>
      <c r="C374" s="5">
        <v>15.964</v>
      </c>
      <c r="D374" s="5">
        <v>15.964</v>
      </c>
      <c r="E374" s="5">
        <v>17.427</v>
      </c>
      <c r="F374" s="5">
        <v>1</v>
      </c>
      <c r="G374" s="5" t="s">
        <v>431</v>
      </c>
      <c r="H374" s="5" t="s">
        <v>431</v>
      </c>
      <c r="I374" s="5">
        <v>61</v>
      </c>
      <c r="J374" s="10">
        <f t="shared" si="11"/>
        <v>1</v>
      </c>
      <c r="K374" s="14" t="s">
        <v>1062</v>
      </c>
      <c r="L374" s="12">
        <f t="shared" si="10"/>
        <v>1</v>
      </c>
    </row>
    <row r="375" spans="1:12" x14ac:dyDescent="0.3">
      <c r="A375" s="5">
        <v>4</v>
      </c>
      <c r="B375" s="5">
        <v>2</v>
      </c>
      <c r="C375" s="5">
        <v>1.1839999999999999</v>
      </c>
      <c r="D375" s="5">
        <v>31.742000000000001</v>
      </c>
      <c r="E375" s="5">
        <v>32.302</v>
      </c>
      <c r="F375" s="5">
        <v>7</v>
      </c>
      <c r="G375" s="5" t="s">
        <v>431</v>
      </c>
      <c r="H375" s="5" t="s">
        <v>431</v>
      </c>
      <c r="I375" s="5">
        <v>82</v>
      </c>
      <c r="J375" s="10">
        <f t="shared" si="11"/>
        <v>1</v>
      </c>
      <c r="K375" s="14" t="s">
        <v>1069</v>
      </c>
      <c r="L375" s="12">
        <f t="shared" si="10"/>
        <v>1</v>
      </c>
    </row>
    <row r="376" spans="1:12" x14ac:dyDescent="0.3">
      <c r="A376" s="5">
        <v>4</v>
      </c>
      <c r="B376" s="5">
        <v>2</v>
      </c>
      <c r="C376" s="5">
        <v>57.06</v>
      </c>
      <c r="D376" s="5">
        <v>57.06</v>
      </c>
      <c r="E376" s="5">
        <v>59.892000000000003</v>
      </c>
      <c r="F376" s="5">
        <v>1</v>
      </c>
      <c r="G376" s="5" t="s">
        <v>434</v>
      </c>
      <c r="H376" s="5" t="s">
        <v>431</v>
      </c>
      <c r="I376" s="5">
        <v>80</v>
      </c>
      <c r="J376" s="10">
        <f t="shared" si="11"/>
        <v>1</v>
      </c>
      <c r="K376" s="14" t="s">
        <v>1077</v>
      </c>
      <c r="L376" s="12">
        <f t="shared" si="10"/>
        <v>0</v>
      </c>
    </row>
    <row r="377" spans="1:12" x14ac:dyDescent="0.3">
      <c r="A377" s="5">
        <v>4</v>
      </c>
      <c r="B377" s="5">
        <v>2</v>
      </c>
      <c r="C377" s="5">
        <v>26.132000000000001</v>
      </c>
      <c r="D377" s="5">
        <v>44.127000000000002</v>
      </c>
      <c r="E377" s="5">
        <v>45.470999999999997</v>
      </c>
      <c r="F377" s="5">
        <v>2</v>
      </c>
      <c r="G377" s="5" t="s">
        <v>431</v>
      </c>
      <c r="H377" s="5" t="s">
        <v>431</v>
      </c>
      <c r="I377" s="5">
        <v>90</v>
      </c>
      <c r="J377" s="10">
        <f t="shared" si="11"/>
        <v>1</v>
      </c>
      <c r="K377" s="14" t="s">
        <v>1085</v>
      </c>
      <c r="L377" s="12">
        <f t="shared" si="10"/>
        <v>1</v>
      </c>
    </row>
    <row r="378" spans="1:12" x14ac:dyDescent="0.3">
      <c r="A378" s="5">
        <v>4</v>
      </c>
      <c r="B378" s="5">
        <v>2</v>
      </c>
      <c r="C378" s="5">
        <v>43.067999999999998</v>
      </c>
      <c r="D378" s="5">
        <v>43.067999999999998</v>
      </c>
      <c r="E378" s="5">
        <v>45.023000000000003</v>
      </c>
      <c r="F378" s="5">
        <v>1</v>
      </c>
      <c r="G378" s="5" t="s">
        <v>434</v>
      </c>
      <c r="H378" s="5" t="s">
        <v>431</v>
      </c>
      <c r="I378" s="5">
        <v>80</v>
      </c>
      <c r="J378" s="10">
        <f t="shared" si="11"/>
        <v>1</v>
      </c>
      <c r="K378" s="14" t="s">
        <v>1093</v>
      </c>
      <c r="L378" s="12">
        <f t="shared" si="10"/>
        <v>0</v>
      </c>
    </row>
    <row r="379" spans="1:12" x14ac:dyDescent="0.3">
      <c r="A379" s="5">
        <v>4</v>
      </c>
      <c r="B379" s="5">
        <v>2</v>
      </c>
      <c r="C379" s="5">
        <v>23.117999999999999</v>
      </c>
      <c r="D379" s="5">
        <v>23.117999999999999</v>
      </c>
      <c r="E379" s="5">
        <v>23.905999999999999</v>
      </c>
      <c r="F379" s="5">
        <v>1</v>
      </c>
      <c r="G379" s="5" t="s">
        <v>431</v>
      </c>
      <c r="H379" s="5" t="s">
        <v>431</v>
      </c>
      <c r="I379" s="5">
        <v>81</v>
      </c>
      <c r="J379" s="10">
        <f t="shared" si="11"/>
        <v>1</v>
      </c>
      <c r="K379" s="14" t="s">
        <v>1191</v>
      </c>
      <c r="L379" s="12">
        <f t="shared" si="10"/>
        <v>1</v>
      </c>
    </row>
    <row r="380" spans="1:12" x14ac:dyDescent="0.3">
      <c r="A380" s="5">
        <v>4</v>
      </c>
      <c r="B380" s="5">
        <v>2</v>
      </c>
      <c r="C380" s="5">
        <v>26.971</v>
      </c>
      <c r="D380" s="5">
        <v>26.971</v>
      </c>
      <c r="E380" s="5">
        <v>46.186999999999998</v>
      </c>
      <c r="F380" s="5">
        <v>1</v>
      </c>
      <c r="G380" s="5" t="s">
        <v>431</v>
      </c>
      <c r="H380" s="5" t="s">
        <v>431</v>
      </c>
      <c r="I380" s="5">
        <v>90</v>
      </c>
      <c r="J380" s="10">
        <f t="shared" si="11"/>
        <v>1</v>
      </c>
      <c r="K380" s="14" t="s">
        <v>1185</v>
      </c>
      <c r="L380" s="12">
        <f t="shared" si="10"/>
        <v>1</v>
      </c>
    </row>
    <row r="381" spans="1:12" x14ac:dyDescent="0.3">
      <c r="A381" s="5">
        <v>4</v>
      </c>
      <c r="B381" s="5">
        <v>2</v>
      </c>
      <c r="C381" s="5">
        <v>9.7210000000000001</v>
      </c>
      <c r="D381" s="5">
        <v>9.7210000000000001</v>
      </c>
      <c r="E381" s="5">
        <v>11.526999999999999</v>
      </c>
      <c r="F381" s="5">
        <v>1</v>
      </c>
      <c r="G381" s="5" t="s">
        <v>431</v>
      </c>
      <c r="H381" s="5" t="s">
        <v>431</v>
      </c>
      <c r="I381" s="5">
        <v>72</v>
      </c>
      <c r="J381" s="10">
        <f t="shared" si="11"/>
        <v>1</v>
      </c>
      <c r="K381" s="14" t="s">
        <v>1177</v>
      </c>
      <c r="L381" s="12">
        <f t="shared" si="10"/>
        <v>1</v>
      </c>
    </row>
    <row r="382" spans="1:12" x14ac:dyDescent="0.3">
      <c r="A382" s="5">
        <v>4</v>
      </c>
      <c r="B382" s="5">
        <v>3</v>
      </c>
      <c r="C382" s="5">
        <v>29.975999999999999</v>
      </c>
      <c r="D382" s="5">
        <v>29.975999999999999</v>
      </c>
      <c r="E382" s="5">
        <v>40.098999999999997</v>
      </c>
      <c r="F382" s="5">
        <v>1</v>
      </c>
      <c r="G382" s="5" t="s">
        <v>434</v>
      </c>
      <c r="H382" s="5" t="s">
        <v>434</v>
      </c>
      <c r="I382" s="5">
        <v>70</v>
      </c>
      <c r="J382" s="10">
        <f t="shared" si="11"/>
        <v>1</v>
      </c>
      <c r="K382" s="14" t="s">
        <v>1024</v>
      </c>
      <c r="L382" s="12">
        <f t="shared" si="10"/>
        <v>1</v>
      </c>
    </row>
    <row r="383" spans="1:12" x14ac:dyDescent="0.3">
      <c r="A383" s="5">
        <v>4</v>
      </c>
      <c r="B383" s="5">
        <v>3</v>
      </c>
      <c r="C383" s="5">
        <v>33.579000000000001</v>
      </c>
      <c r="D383" s="5">
        <v>34.258000000000003</v>
      </c>
      <c r="E383" s="5">
        <v>36.012</v>
      </c>
      <c r="F383" s="5">
        <v>2</v>
      </c>
      <c r="G383" s="5" t="s">
        <v>434</v>
      </c>
      <c r="H383" s="5" t="s">
        <v>434</v>
      </c>
      <c r="I383" s="5">
        <v>84</v>
      </c>
      <c r="J383" s="10">
        <f t="shared" si="11"/>
        <v>0</v>
      </c>
      <c r="K383" s="14"/>
      <c r="L383" s="12">
        <f t="shared" si="10"/>
        <v>1</v>
      </c>
    </row>
    <row r="384" spans="1:12" x14ac:dyDescent="0.3">
      <c r="A384" s="5">
        <v>4</v>
      </c>
      <c r="B384" s="5">
        <v>3</v>
      </c>
      <c r="C384" s="5">
        <v>45.567999999999998</v>
      </c>
      <c r="D384" s="5">
        <v>45.567999999999998</v>
      </c>
      <c r="E384" s="5">
        <v>52.417999999999999</v>
      </c>
      <c r="F384" s="5">
        <v>1</v>
      </c>
      <c r="G384" s="5" t="s">
        <v>434</v>
      </c>
      <c r="H384" s="5" t="s">
        <v>434</v>
      </c>
      <c r="I384" s="5">
        <v>80</v>
      </c>
      <c r="J384" s="10">
        <f t="shared" si="11"/>
        <v>1</v>
      </c>
      <c r="K384" s="14" t="s">
        <v>1032</v>
      </c>
      <c r="L384" s="12">
        <f t="shared" si="10"/>
        <v>1</v>
      </c>
    </row>
    <row r="385" spans="1:12" x14ac:dyDescent="0.3">
      <c r="A385" s="5">
        <v>4</v>
      </c>
      <c r="B385" s="5">
        <v>3</v>
      </c>
      <c r="C385" s="5">
        <v>9.7769999999999992</v>
      </c>
      <c r="D385" s="5">
        <v>9.7769999999999992</v>
      </c>
      <c r="E385" s="5">
        <v>44.985999999999997</v>
      </c>
      <c r="F385" s="5">
        <v>1</v>
      </c>
      <c r="G385" s="5" t="s">
        <v>434</v>
      </c>
      <c r="H385" s="5" t="s">
        <v>434</v>
      </c>
      <c r="I385" s="5">
        <v>91</v>
      </c>
      <c r="J385" s="10">
        <f t="shared" si="11"/>
        <v>1</v>
      </c>
      <c r="K385" s="14" t="s">
        <v>1040</v>
      </c>
      <c r="L385" s="12">
        <f t="shared" si="10"/>
        <v>1</v>
      </c>
    </row>
    <row r="386" spans="1:12" x14ac:dyDescent="0.3">
      <c r="A386" s="5">
        <v>4</v>
      </c>
      <c r="B386" s="5">
        <v>3</v>
      </c>
      <c r="C386" s="5">
        <v>90.230999999999995</v>
      </c>
      <c r="D386" s="5">
        <v>90.230999999999995</v>
      </c>
      <c r="E386" s="5">
        <v>92.832999999999998</v>
      </c>
      <c r="F386" s="5">
        <v>1</v>
      </c>
      <c r="G386" s="5" t="s">
        <v>434</v>
      </c>
      <c r="H386" s="5" t="s">
        <v>434</v>
      </c>
      <c r="I386" s="5">
        <v>82</v>
      </c>
      <c r="J386" s="10">
        <f t="shared" si="11"/>
        <v>1</v>
      </c>
      <c r="K386" s="14" t="s">
        <v>1047</v>
      </c>
      <c r="L386" s="12">
        <f t="shared" si="10"/>
        <v>1</v>
      </c>
    </row>
    <row r="387" spans="1:12" x14ac:dyDescent="0.3">
      <c r="A387" s="5">
        <v>4</v>
      </c>
      <c r="B387" s="5">
        <v>3</v>
      </c>
      <c r="C387" s="5">
        <v>16.25</v>
      </c>
      <c r="D387" s="5">
        <v>16.25</v>
      </c>
      <c r="E387" s="5">
        <v>17.805</v>
      </c>
      <c r="F387" s="5">
        <v>1</v>
      </c>
      <c r="G387" s="5" t="s">
        <v>434</v>
      </c>
      <c r="H387" s="5" t="s">
        <v>434</v>
      </c>
      <c r="I387" s="5">
        <v>100</v>
      </c>
      <c r="J387" s="10">
        <f t="shared" si="11"/>
        <v>1</v>
      </c>
      <c r="K387" s="14" t="s">
        <v>1055</v>
      </c>
      <c r="L387" s="12">
        <f t="shared" si="10"/>
        <v>1</v>
      </c>
    </row>
    <row r="388" spans="1:12" x14ac:dyDescent="0.3">
      <c r="A388" s="5">
        <v>4</v>
      </c>
      <c r="B388" s="5">
        <v>3</v>
      </c>
      <c r="C388" s="5">
        <v>8.9640000000000004</v>
      </c>
      <c r="D388" s="5">
        <v>8.9640000000000004</v>
      </c>
      <c r="E388" s="5">
        <v>14.949</v>
      </c>
      <c r="F388" s="5">
        <v>1</v>
      </c>
      <c r="G388" s="5" t="s">
        <v>434</v>
      </c>
      <c r="H388" s="5" t="s">
        <v>434</v>
      </c>
      <c r="I388" s="5">
        <v>39</v>
      </c>
      <c r="J388" s="10">
        <f t="shared" si="11"/>
        <v>0</v>
      </c>
      <c r="K388" s="14"/>
      <c r="L388" s="12">
        <f t="shared" si="10"/>
        <v>1</v>
      </c>
    </row>
    <row r="389" spans="1:12" x14ac:dyDescent="0.3">
      <c r="A389" s="5">
        <v>4</v>
      </c>
      <c r="B389" s="5">
        <v>3</v>
      </c>
      <c r="C389" s="5">
        <v>3.7959999999999998</v>
      </c>
      <c r="D389" s="5">
        <v>23.641999999999999</v>
      </c>
      <c r="E389" s="5">
        <v>24.314</v>
      </c>
      <c r="F389" s="5">
        <v>2</v>
      </c>
      <c r="G389" s="5" t="s">
        <v>434</v>
      </c>
      <c r="H389" s="5" t="s">
        <v>434</v>
      </c>
      <c r="I389" s="5">
        <v>80</v>
      </c>
      <c r="J389" s="10">
        <f t="shared" si="11"/>
        <v>1</v>
      </c>
      <c r="K389" s="14" t="s">
        <v>1070</v>
      </c>
      <c r="L389" s="12">
        <f t="shared" si="10"/>
        <v>1</v>
      </c>
    </row>
    <row r="390" spans="1:12" x14ac:dyDescent="0.3">
      <c r="A390" s="5">
        <v>4</v>
      </c>
      <c r="B390" s="5">
        <v>3</v>
      </c>
      <c r="C390" s="5">
        <v>14.035</v>
      </c>
      <c r="D390" s="5">
        <v>14.035</v>
      </c>
      <c r="E390" s="5">
        <v>23.722999999999999</v>
      </c>
      <c r="F390" s="5">
        <v>1</v>
      </c>
      <c r="G390" s="5" t="s">
        <v>431</v>
      </c>
      <c r="H390" s="5" t="s">
        <v>434</v>
      </c>
      <c r="I390" s="5">
        <v>100</v>
      </c>
      <c r="J390" s="10">
        <f t="shared" si="11"/>
        <v>1</v>
      </c>
      <c r="K390" s="14" t="s">
        <v>1078</v>
      </c>
      <c r="L390" s="12">
        <f t="shared" si="10"/>
        <v>0</v>
      </c>
    </row>
    <row r="391" spans="1:12" x14ac:dyDescent="0.3">
      <c r="A391" s="5">
        <v>4</v>
      </c>
      <c r="B391" s="5">
        <v>3</v>
      </c>
      <c r="C391" s="5">
        <v>52.09</v>
      </c>
      <c r="D391" s="5">
        <v>52.09</v>
      </c>
      <c r="E391" s="5">
        <v>55.018999999999998</v>
      </c>
      <c r="F391" s="5">
        <v>1</v>
      </c>
      <c r="G391" s="5" t="s">
        <v>434</v>
      </c>
      <c r="H391" s="5" t="s">
        <v>434</v>
      </c>
      <c r="I391" s="5">
        <v>75</v>
      </c>
      <c r="J391" s="10">
        <f t="shared" si="11"/>
        <v>1</v>
      </c>
      <c r="K391" s="14" t="s">
        <v>1086</v>
      </c>
      <c r="L391" s="12">
        <f t="shared" si="10"/>
        <v>1</v>
      </c>
    </row>
    <row r="392" spans="1:12" x14ac:dyDescent="0.3">
      <c r="A392" s="5">
        <v>4</v>
      </c>
      <c r="B392" s="5">
        <v>3</v>
      </c>
      <c r="C392" s="5">
        <v>34.201000000000001</v>
      </c>
      <c r="D392" s="5">
        <v>34.201000000000001</v>
      </c>
      <c r="E392" s="5">
        <v>47.956000000000003</v>
      </c>
      <c r="F392" s="5">
        <v>1</v>
      </c>
      <c r="G392" s="5" t="s">
        <v>434</v>
      </c>
      <c r="H392" s="5" t="s">
        <v>434</v>
      </c>
      <c r="I392" s="5">
        <v>90</v>
      </c>
      <c r="J392" s="10">
        <f t="shared" si="11"/>
        <v>1</v>
      </c>
      <c r="K392" s="14" t="s">
        <v>1094</v>
      </c>
      <c r="L392" s="12">
        <f t="shared" si="10"/>
        <v>1</v>
      </c>
    </row>
    <row r="393" spans="1:12" x14ac:dyDescent="0.3">
      <c r="A393" s="5">
        <v>4</v>
      </c>
      <c r="B393" s="5">
        <v>3</v>
      </c>
      <c r="C393" s="5">
        <v>16.196999999999999</v>
      </c>
      <c r="D393" s="5">
        <v>16.196999999999999</v>
      </c>
      <c r="E393" s="5">
        <v>17.074000000000002</v>
      </c>
      <c r="F393" s="5">
        <v>1</v>
      </c>
      <c r="G393" s="5" t="s">
        <v>434</v>
      </c>
      <c r="H393" s="5" t="s">
        <v>434</v>
      </c>
      <c r="I393" s="5">
        <v>99</v>
      </c>
      <c r="J393" s="10">
        <f t="shared" si="11"/>
        <v>1</v>
      </c>
      <c r="K393" s="14" t="s">
        <v>1190</v>
      </c>
      <c r="L393" s="12">
        <f t="shared" si="10"/>
        <v>1</v>
      </c>
    </row>
    <row r="394" spans="1:12" x14ac:dyDescent="0.3">
      <c r="A394" s="5">
        <v>4</v>
      </c>
      <c r="B394" s="5">
        <v>3</v>
      </c>
      <c r="C394" s="5">
        <v>17.396999999999998</v>
      </c>
      <c r="D394" s="5">
        <v>17.396999999999998</v>
      </c>
      <c r="E394" s="5">
        <v>28.984000000000002</v>
      </c>
      <c r="F394" s="5">
        <v>1</v>
      </c>
      <c r="G394" s="5" t="s">
        <v>434</v>
      </c>
      <c r="H394" s="5" t="s">
        <v>434</v>
      </c>
      <c r="I394" s="5">
        <v>90</v>
      </c>
      <c r="J394" s="10">
        <f t="shared" si="11"/>
        <v>1</v>
      </c>
      <c r="K394" s="14" t="s">
        <v>1184</v>
      </c>
      <c r="L394" s="12">
        <f t="shared" si="10"/>
        <v>1</v>
      </c>
    </row>
    <row r="395" spans="1:12" x14ac:dyDescent="0.3">
      <c r="A395" s="5">
        <v>4</v>
      </c>
      <c r="B395" s="5">
        <v>3</v>
      </c>
      <c r="C395" s="5">
        <v>36.99</v>
      </c>
      <c r="D395" s="5">
        <v>36.99</v>
      </c>
      <c r="E395" s="5">
        <v>38.573</v>
      </c>
      <c r="F395" s="5">
        <v>1</v>
      </c>
      <c r="G395" s="5" t="s">
        <v>434</v>
      </c>
      <c r="H395" s="5" t="s">
        <v>434</v>
      </c>
      <c r="I395" s="5">
        <v>50</v>
      </c>
      <c r="J395" s="10">
        <f t="shared" si="11"/>
        <v>1</v>
      </c>
      <c r="K395" s="14" t="s">
        <v>1176</v>
      </c>
      <c r="L395" s="12">
        <f t="shared" si="10"/>
        <v>1</v>
      </c>
    </row>
    <row r="396" spans="1:12" x14ac:dyDescent="0.3">
      <c r="A396" s="5">
        <v>4</v>
      </c>
      <c r="B396" s="5">
        <v>4</v>
      </c>
      <c r="C396" s="5">
        <v>15.951000000000001</v>
      </c>
      <c r="D396" s="5">
        <v>15.951000000000001</v>
      </c>
      <c r="E396" s="5">
        <v>17.100999999999999</v>
      </c>
      <c r="F396" s="5">
        <v>1</v>
      </c>
      <c r="G396" s="5" t="s">
        <v>431</v>
      </c>
      <c r="H396" s="5" t="s">
        <v>434</v>
      </c>
      <c r="I396" s="5">
        <v>80</v>
      </c>
      <c r="J396" s="10">
        <f t="shared" si="11"/>
        <v>1</v>
      </c>
      <c r="K396" s="14" t="s">
        <v>1025</v>
      </c>
      <c r="L396" s="12">
        <f t="shared" si="10"/>
        <v>0</v>
      </c>
    </row>
    <row r="397" spans="1:12" x14ac:dyDescent="0.3">
      <c r="A397" s="5">
        <v>4</v>
      </c>
      <c r="B397" s="5">
        <v>4</v>
      </c>
      <c r="C397" s="5">
        <v>4.5460000000000003</v>
      </c>
      <c r="D397" s="5">
        <v>5.3940000000000001</v>
      </c>
      <c r="E397" s="5">
        <v>6.2610000000000001</v>
      </c>
      <c r="F397" s="5">
        <v>2</v>
      </c>
      <c r="G397" s="5" t="s">
        <v>431</v>
      </c>
      <c r="H397" s="5" t="s">
        <v>434</v>
      </c>
      <c r="I397" s="5">
        <v>83</v>
      </c>
      <c r="J397" s="10">
        <f t="shared" si="11"/>
        <v>0</v>
      </c>
      <c r="K397" s="14"/>
      <c r="L397" s="12">
        <f t="shared" si="10"/>
        <v>0</v>
      </c>
    </row>
    <row r="398" spans="1:12" x14ac:dyDescent="0.3">
      <c r="A398" s="5">
        <v>4</v>
      </c>
      <c r="B398" s="5">
        <v>4</v>
      </c>
      <c r="C398" s="5">
        <v>54.429000000000002</v>
      </c>
      <c r="D398" s="5">
        <v>54.429000000000002</v>
      </c>
      <c r="E398" s="5">
        <v>65.983000000000004</v>
      </c>
      <c r="F398" s="5">
        <v>1</v>
      </c>
      <c r="G398" s="5" t="s">
        <v>431</v>
      </c>
      <c r="H398" s="5" t="s">
        <v>434</v>
      </c>
      <c r="I398" s="5">
        <v>60</v>
      </c>
      <c r="J398" s="10">
        <f t="shared" si="11"/>
        <v>1</v>
      </c>
      <c r="K398" s="14" t="s">
        <v>1033</v>
      </c>
      <c r="L398" s="12">
        <f t="shared" si="10"/>
        <v>0</v>
      </c>
    </row>
    <row r="399" spans="1:12" x14ac:dyDescent="0.3">
      <c r="A399" s="5">
        <v>4</v>
      </c>
      <c r="B399" s="5">
        <v>4</v>
      </c>
      <c r="C399" s="5">
        <v>17.085000000000001</v>
      </c>
      <c r="D399" s="5">
        <v>17.085000000000001</v>
      </c>
      <c r="E399" s="5">
        <v>240.49799999999999</v>
      </c>
      <c r="F399" s="5">
        <v>1</v>
      </c>
      <c r="G399" s="5" t="s">
        <v>431</v>
      </c>
      <c r="H399" s="5" t="s">
        <v>434</v>
      </c>
      <c r="I399" s="5">
        <v>30</v>
      </c>
      <c r="J399" s="10">
        <f t="shared" si="11"/>
        <v>1</v>
      </c>
      <c r="K399" s="14" t="s">
        <v>1041</v>
      </c>
      <c r="L399" s="12">
        <f t="shared" si="10"/>
        <v>0</v>
      </c>
    </row>
    <row r="400" spans="1:12" x14ac:dyDescent="0.3">
      <c r="A400" s="5">
        <v>4</v>
      </c>
      <c r="B400" s="5">
        <v>4</v>
      </c>
      <c r="C400" s="5">
        <v>100.55</v>
      </c>
      <c r="D400" s="5">
        <v>100.55</v>
      </c>
      <c r="E400" s="5">
        <v>103.20099999999999</v>
      </c>
      <c r="F400" s="5">
        <v>1</v>
      </c>
      <c r="G400" s="5" t="s">
        <v>431</v>
      </c>
      <c r="H400" s="5" t="s">
        <v>434</v>
      </c>
      <c r="I400" s="5">
        <v>82</v>
      </c>
      <c r="J400" s="10">
        <f t="shared" si="11"/>
        <v>1</v>
      </c>
      <c r="K400" s="14" t="s">
        <v>1048</v>
      </c>
      <c r="L400" s="12">
        <f t="shared" si="10"/>
        <v>0</v>
      </c>
    </row>
    <row r="401" spans="1:12" x14ac:dyDescent="0.3">
      <c r="A401" s="5">
        <v>4</v>
      </c>
      <c r="B401" s="5">
        <v>4</v>
      </c>
      <c r="C401" s="5">
        <v>36.674999999999997</v>
      </c>
      <c r="D401" s="5">
        <v>36.674999999999997</v>
      </c>
      <c r="E401" s="5">
        <v>38.267000000000003</v>
      </c>
      <c r="F401" s="5">
        <v>1</v>
      </c>
      <c r="G401" s="5" t="s">
        <v>431</v>
      </c>
      <c r="H401" s="5" t="s">
        <v>434</v>
      </c>
      <c r="I401" s="5">
        <v>100</v>
      </c>
      <c r="J401" s="10">
        <f t="shared" si="11"/>
        <v>1</v>
      </c>
      <c r="K401" s="14" t="s">
        <v>1056</v>
      </c>
      <c r="L401" s="12">
        <f t="shared" si="10"/>
        <v>0</v>
      </c>
    </row>
    <row r="402" spans="1:12" x14ac:dyDescent="0.3">
      <c r="A402" s="5">
        <v>4</v>
      </c>
      <c r="B402" s="5">
        <v>4</v>
      </c>
      <c r="C402" s="5">
        <v>19.391999999999999</v>
      </c>
      <c r="D402" s="5">
        <v>19.391999999999999</v>
      </c>
      <c r="E402" s="5">
        <v>30.888000000000002</v>
      </c>
      <c r="F402" s="5">
        <v>1</v>
      </c>
      <c r="G402" s="5" t="s">
        <v>431</v>
      </c>
      <c r="H402" s="5" t="s">
        <v>434</v>
      </c>
      <c r="I402" s="5">
        <v>35</v>
      </c>
      <c r="J402" s="10">
        <f t="shared" si="11"/>
        <v>1</v>
      </c>
      <c r="K402" s="14" t="s">
        <v>1063</v>
      </c>
      <c r="L402" s="12">
        <f t="shared" si="10"/>
        <v>0</v>
      </c>
    </row>
    <row r="403" spans="1:12" x14ac:dyDescent="0.3">
      <c r="A403" s="5">
        <v>4</v>
      </c>
      <c r="B403" s="5">
        <v>4</v>
      </c>
      <c r="C403" s="5">
        <v>3.266</v>
      </c>
      <c r="D403" s="5">
        <v>37.335000000000001</v>
      </c>
      <c r="E403" s="5">
        <v>38.131</v>
      </c>
      <c r="F403" s="5">
        <v>2</v>
      </c>
      <c r="G403" s="5" t="s">
        <v>434</v>
      </c>
      <c r="H403" s="5" t="s">
        <v>434</v>
      </c>
      <c r="I403" s="5">
        <v>82</v>
      </c>
      <c r="J403" s="10">
        <f t="shared" si="11"/>
        <v>1</v>
      </c>
      <c r="K403" s="14" t="s">
        <v>1071</v>
      </c>
      <c r="L403" s="12">
        <f t="shared" si="10"/>
        <v>1</v>
      </c>
    </row>
    <row r="404" spans="1:12" x14ac:dyDescent="0.3">
      <c r="A404" s="5">
        <v>4</v>
      </c>
      <c r="B404" s="5">
        <v>4</v>
      </c>
      <c r="C404" s="5">
        <v>28.219000000000001</v>
      </c>
      <c r="D404" s="5">
        <v>28.219000000000001</v>
      </c>
      <c r="E404" s="5">
        <v>35.546999999999997</v>
      </c>
      <c r="F404" s="5">
        <v>1</v>
      </c>
      <c r="G404" s="5" t="s">
        <v>434</v>
      </c>
      <c r="H404" s="5" t="s">
        <v>434</v>
      </c>
      <c r="I404" s="5">
        <v>20</v>
      </c>
      <c r="J404" s="10">
        <f t="shared" si="11"/>
        <v>1</v>
      </c>
      <c r="K404" s="14" t="s">
        <v>1079</v>
      </c>
      <c r="L404" s="12">
        <f t="shared" si="10"/>
        <v>1</v>
      </c>
    </row>
    <row r="405" spans="1:12" x14ac:dyDescent="0.3">
      <c r="A405" s="5">
        <v>4</v>
      </c>
      <c r="B405" s="5">
        <v>4</v>
      </c>
      <c r="C405" s="5">
        <v>24.945</v>
      </c>
      <c r="D405" s="5">
        <v>27.349</v>
      </c>
      <c r="E405" s="5">
        <v>34.615000000000002</v>
      </c>
      <c r="F405" s="5">
        <v>2</v>
      </c>
      <c r="G405" s="5" t="s">
        <v>431</v>
      </c>
      <c r="H405" s="5" t="s">
        <v>434</v>
      </c>
      <c r="I405" s="5">
        <v>80</v>
      </c>
      <c r="J405" s="10">
        <f t="shared" si="11"/>
        <v>1</v>
      </c>
      <c r="K405" s="14" t="s">
        <v>1087</v>
      </c>
      <c r="L405" s="12">
        <f t="shared" si="10"/>
        <v>0</v>
      </c>
    </row>
    <row r="406" spans="1:12" x14ac:dyDescent="0.3">
      <c r="A406" s="5">
        <v>4</v>
      </c>
      <c r="B406" s="5">
        <v>4</v>
      </c>
      <c r="C406" s="5">
        <v>24.573</v>
      </c>
      <c r="D406" s="5">
        <v>24.573</v>
      </c>
      <c r="E406" s="5">
        <v>25.846</v>
      </c>
      <c r="F406" s="5">
        <v>1</v>
      </c>
      <c r="G406" s="5" t="s">
        <v>431</v>
      </c>
      <c r="H406" s="5" t="s">
        <v>434</v>
      </c>
      <c r="I406" s="5">
        <v>85</v>
      </c>
      <c r="J406" s="10">
        <f t="shared" si="11"/>
        <v>1</v>
      </c>
      <c r="K406" s="14" t="s">
        <v>1095</v>
      </c>
      <c r="L406" s="12">
        <f t="shared" si="10"/>
        <v>0</v>
      </c>
    </row>
    <row r="407" spans="1:12" x14ac:dyDescent="0.3">
      <c r="A407" s="5">
        <v>4</v>
      </c>
      <c r="B407" s="5">
        <v>4</v>
      </c>
      <c r="C407" s="5">
        <v>3.1019999999999999</v>
      </c>
      <c r="D407" s="5">
        <v>20.411000000000001</v>
      </c>
      <c r="E407" s="5">
        <v>48.087000000000003</v>
      </c>
      <c r="F407" s="5">
        <v>3</v>
      </c>
      <c r="G407" s="5" t="s">
        <v>431</v>
      </c>
      <c r="H407" s="5" t="s">
        <v>434</v>
      </c>
      <c r="I407" s="5">
        <v>91</v>
      </c>
      <c r="J407" s="10">
        <f t="shared" si="11"/>
        <v>1</v>
      </c>
      <c r="K407" s="14" t="s">
        <v>1189</v>
      </c>
      <c r="L407" s="12">
        <f t="shared" si="10"/>
        <v>0</v>
      </c>
    </row>
    <row r="408" spans="1:12" x14ac:dyDescent="0.3">
      <c r="A408" s="5">
        <v>4</v>
      </c>
      <c r="B408" s="5">
        <v>4</v>
      </c>
      <c r="C408" s="5">
        <v>45.216999999999999</v>
      </c>
      <c r="D408" s="5">
        <v>45.216999999999999</v>
      </c>
      <c r="E408" s="5">
        <v>73.95</v>
      </c>
      <c r="F408" s="5">
        <v>1</v>
      </c>
      <c r="G408" s="5" t="s">
        <v>431</v>
      </c>
      <c r="H408" s="5" t="s">
        <v>434</v>
      </c>
      <c r="I408" s="5">
        <v>61</v>
      </c>
      <c r="J408" s="10">
        <f t="shared" si="11"/>
        <v>1</v>
      </c>
      <c r="K408" s="14" t="s">
        <v>1183</v>
      </c>
      <c r="L408" s="12">
        <f t="shared" si="10"/>
        <v>0</v>
      </c>
    </row>
    <row r="409" spans="1:12" x14ac:dyDescent="0.3">
      <c r="A409" s="5">
        <v>4</v>
      </c>
      <c r="B409" s="5">
        <v>4</v>
      </c>
      <c r="C409" s="5">
        <v>20.626000000000001</v>
      </c>
      <c r="D409" s="5">
        <v>20.626000000000001</v>
      </c>
      <c r="E409" s="5">
        <v>22.100999999999999</v>
      </c>
      <c r="F409" s="5">
        <v>1</v>
      </c>
      <c r="G409" s="5" t="s">
        <v>431</v>
      </c>
      <c r="H409" s="5" t="s">
        <v>434</v>
      </c>
      <c r="I409" s="5">
        <v>53</v>
      </c>
      <c r="J409" s="10">
        <f t="shared" si="11"/>
        <v>1</v>
      </c>
      <c r="K409" s="14" t="s">
        <v>1175</v>
      </c>
      <c r="L409" s="12">
        <f t="shared" si="10"/>
        <v>0</v>
      </c>
    </row>
    <row r="410" spans="1:12" x14ac:dyDescent="0.3">
      <c r="A410" s="5">
        <v>4</v>
      </c>
      <c r="B410" s="5">
        <v>5</v>
      </c>
      <c r="C410" s="5">
        <v>58.37</v>
      </c>
      <c r="D410" s="5">
        <v>58.37</v>
      </c>
      <c r="E410" s="5">
        <v>59.518999999999998</v>
      </c>
      <c r="F410" s="5">
        <v>1</v>
      </c>
      <c r="G410" s="5" t="s">
        <v>431</v>
      </c>
      <c r="H410" s="5" t="s">
        <v>431</v>
      </c>
      <c r="I410" s="5">
        <v>60</v>
      </c>
      <c r="J410" s="10">
        <f t="shared" si="11"/>
        <v>1</v>
      </c>
      <c r="K410" s="14" t="s">
        <v>1026</v>
      </c>
      <c r="L410" s="12">
        <f t="shared" ref="L410:L465" si="12">IF(G410=H410, 1, 0)</f>
        <v>1</v>
      </c>
    </row>
    <row r="411" spans="1:12" x14ac:dyDescent="0.3">
      <c r="A411" s="5">
        <v>4</v>
      </c>
      <c r="B411" s="5">
        <v>5</v>
      </c>
      <c r="C411" s="5">
        <v>33.271000000000001</v>
      </c>
      <c r="D411" s="5">
        <v>33.271000000000001</v>
      </c>
      <c r="E411" s="5">
        <v>34.168999999999997</v>
      </c>
      <c r="F411" s="5">
        <v>1</v>
      </c>
      <c r="G411" s="5" t="s">
        <v>434</v>
      </c>
      <c r="H411" s="5" t="s">
        <v>431</v>
      </c>
      <c r="I411" s="5">
        <v>82</v>
      </c>
      <c r="J411" s="10">
        <f t="shared" ref="J411:J465" si="13">IF(ISBLANK(K411), 0, 1)</f>
        <v>0</v>
      </c>
      <c r="K411" s="14"/>
      <c r="L411" s="12">
        <f t="shared" si="12"/>
        <v>0</v>
      </c>
    </row>
    <row r="412" spans="1:12" x14ac:dyDescent="0.3">
      <c r="A412" s="5">
        <v>4</v>
      </c>
      <c r="B412" s="5">
        <v>5</v>
      </c>
      <c r="C412" s="5">
        <v>33.24</v>
      </c>
      <c r="D412" s="5">
        <v>50.19</v>
      </c>
      <c r="E412" s="5">
        <v>52.338999999999999</v>
      </c>
      <c r="F412" s="5">
        <v>2</v>
      </c>
      <c r="G412" s="5" t="s">
        <v>434</v>
      </c>
      <c r="H412" s="5" t="s">
        <v>431</v>
      </c>
      <c r="I412" s="5">
        <v>70</v>
      </c>
      <c r="J412" s="10">
        <f t="shared" si="13"/>
        <v>1</v>
      </c>
      <c r="K412" s="14" t="s">
        <v>1034</v>
      </c>
      <c r="L412" s="12">
        <f t="shared" si="12"/>
        <v>0</v>
      </c>
    </row>
    <row r="413" spans="1:12" x14ac:dyDescent="0.3">
      <c r="A413" s="5">
        <v>4</v>
      </c>
      <c r="B413" s="5">
        <v>5</v>
      </c>
      <c r="C413" s="5">
        <v>24.61</v>
      </c>
      <c r="D413" s="5">
        <v>2512.6419999999998</v>
      </c>
      <c r="E413" s="5">
        <v>2513.62</v>
      </c>
      <c r="F413" s="5">
        <v>2</v>
      </c>
      <c r="G413" s="5" t="s">
        <v>434</v>
      </c>
      <c r="H413" s="5" t="s">
        <v>431</v>
      </c>
      <c r="I413" s="5">
        <v>29</v>
      </c>
      <c r="J413" s="10">
        <f t="shared" si="13"/>
        <v>1</v>
      </c>
      <c r="K413" s="14" t="s">
        <v>1042</v>
      </c>
      <c r="L413" s="12">
        <f t="shared" si="12"/>
        <v>0</v>
      </c>
    </row>
    <row r="414" spans="1:12" x14ac:dyDescent="0.3">
      <c r="A414" s="5">
        <v>4</v>
      </c>
      <c r="B414" s="5">
        <v>5</v>
      </c>
      <c r="C414" s="5">
        <v>213.17500000000001</v>
      </c>
      <c r="D414" s="5">
        <v>213.17500000000001</v>
      </c>
      <c r="E414" s="5">
        <v>217.506</v>
      </c>
      <c r="F414" s="5">
        <v>1</v>
      </c>
      <c r="G414" s="5" t="s">
        <v>431</v>
      </c>
      <c r="H414" s="5" t="s">
        <v>431</v>
      </c>
      <c r="I414" s="5">
        <v>60</v>
      </c>
      <c r="J414" s="10">
        <f t="shared" si="13"/>
        <v>1</v>
      </c>
      <c r="K414" s="14" t="s">
        <v>1049</v>
      </c>
      <c r="L414" s="12">
        <f t="shared" si="12"/>
        <v>1</v>
      </c>
    </row>
    <row r="415" spans="1:12" x14ac:dyDescent="0.3">
      <c r="A415" s="5">
        <v>4</v>
      </c>
      <c r="B415" s="5">
        <v>5</v>
      </c>
      <c r="C415" s="5">
        <v>42.012999999999998</v>
      </c>
      <c r="D415" s="5">
        <v>57.165999999999997</v>
      </c>
      <c r="E415" s="5">
        <v>58.365000000000002</v>
      </c>
      <c r="F415" s="5">
        <v>2</v>
      </c>
      <c r="G415" s="5" t="s">
        <v>434</v>
      </c>
      <c r="H415" s="5" t="s">
        <v>431</v>
      </c>
      <c r="I415" s="5">
        <v>95</v>
      </c>
      <c r="J415" s="10">
        <f t="shared" si="13"/>
        <v>1</v>
      </c>
      <c r="K415" s="14" t="s">
        <v>1057</v>
      </c>
      <c r="L415" s="12">
        <f t="shared" si="12"/>
        <v>0</v>
      </c>
    </row>
    <row r="416" spans="1:12" x14ac:dyDescent="0.3">
      <c r="A416" s="5">
        <v>4</v>
      </c>
      <c r="B416" s="5">
        <v>5</v>
      </c>
      <c r="C416" s="5">
        <v>18.797000000000001</v>
      </c>
      <c r="D416" s="5">
        <v>18.797000000000001</v>
      </c>
      <c r="E416" s="5">
        <v>20.468</v>
      </c>
      <c r="F416" s="5">
        <v>1</v>
      </c>
      <c r="G416" s="5" t="s">
        <v>431</v>
      </c>
      <c r="H416" s="5" t="s">
        <v>431</v>
      </c>
      <c r="I416" s="5">
        <v>55</v>
      </c>
      <c r="J416" s="10">
        <f t="shared" si="13"/>
        <v>1</v>
      </c>
      <c r="K416" s="14" t="s">
        <v>1064</v>
      </c>
      <c r="L416" s="12">
        <f t="shared" si="12"/>
        <v>1</v>
      </c>
    </row>
    <row r="417" spans="1:12" x14ac:dyDescent="0.3">
      <c r="A417" s="5">
        <v>4</v>
      </c>
      <c r="B417" s="5">
        <v>5</v>
      </c>
      <c r="C417" s="5">
        <v>3.3660000000000001</v>
      </c>
      <c r="D417" s="5">
        <v>63.128</v>
      </c>
      <c r="E417" s="5">
        <v>63.817999999999998</v>
      </c>
      <c r="F417" s="5">
        <v>2</v>
      </c>
      <c r="G417" s="5" t="s">
        <v>434</v>
      </c>
      <c r="H417" s="5" t="s">
        <v>431</v>
      </c>
      <c r="I417" s="5">
        <v>82</v>
      </c>
      <c r="J417" s="10">
        <f t="shared" si="13"/>
        <v>1</v>
      </c>
      <c r="K417" s="14" t="s">
        <v>1072</v>
      </c>
      <c r="L417" s="12">
        <f t="shared" si="12"/>
        <v>0</v>
      </c>
    </row>
    <row r="418" spans="1:12" x14ac:dyDescent="0.3">
      <c r="A418" s="5">
        <v>4</v>
      </c>
      <c r="B418" s="5">
        <v>5</v>
      </c>
      <c r="C418" s="5">
        <v>36.491</v>
      </c>
      <c r="D418" s="5">
        <v>53.396999999999998</v>
      </c>
      <c r="E418" s="5">
        <v>54.078000000000003</v>
      </c>
      <c r="F418" s="5">
        <v>3</v>
      </c>
      <c r="G418" s="5" t="s">
        <v>431</v>
      </c>
      <c r="H418" s="5" t="s">
        <v>431</v>
      </c>
      <c r="I418" s="5">
        <v>71</v>
      </c>
      <c r="J418" s="10">
        <f t="shared" si="13"/>
        <v>1</v>
      </c>
      <c r="K418" s="14" t="s">
        <v>1080</v>
      </c>
      <c r="L418" s="12">
        <f t="shared" si="12"/>
        <v>1</v>
      </c>
    </row>
    <row r="419" spans="1:12" x14ac:dyDescent="0.3">
      <c r="A419" s="5">
        <v>4</v>
      </c>
      <c r="B419" s="5">
        <v>5</v>
      </c>
      <c r="C419" s="5">
        <v>21.097000000000001</v>
      </c>
      <c r="D419" s="5">
        <v>21.097000000000001</v>
      </c>
      <c r="E419" s="5">
        <v>22.46</v>
      </c>
      <c r="F419" s="5">
        <v>1</v>
      </c>
      <c r="G419" s="5" t="s">
        <v>434</v>
      </c>
      <c r="H419" s="5" t="s">
        <v>431</v>
      </c>
      <c r="I419" s="5">
        <v>80</v>
      </c>
      <c r="J419" s="10">
        <f t="shared" si="13"/>
        <v>1</v>
      </c>
      <c r="K419" s="14" t="s">
        <v>1088</v>
      </c>
      <c r="L419" s="12">
        <f t="shared" si="12"/>
        <v>0</v>
      </c>
    </row>
    <row r="420" spans="1:12" x14ac:dyDescent="0.3">
      <c r="A420" s="5">
        <v>4</v>
      </c>
      <c r="B420" s="5">
        <v>5</v>
      </c>
      <c r="C420" s="5">
        <v>39.298999999999999</v>
      </c>
      <c r="D420" s="5">
        <v>39.298999999999999</v>
      </c>
      <c r="E420" s="5">
        <v>41.171999999999997</v>
      </c>
      <c r="F420" s="5">
        <v>1</v>
      </c>
      <c r="G420" s="5" t="s">
        <v>431</v>
      </c>
      <c r="H420" s="5" t="s">
        <v>431</v>
      </c>
      <c r="I420" s="5">
        <v>90</v>
      </c>
      <c r="J420" s="10">
        <f t="shared" si="13"/>
        <v>1</v>
      </c>
      <c r="K420" s="14" t="s">
        <v>1096</v>
      </c>
      <c r="L420" s="12">
        <f t="shared" si="12"/>
        <v>1</v>
      </c>
    </row>
    <row r="421" spans="1:12" x14ac:dyDescent="0.3">
      <c r="A421" s="5">
        <v>4</v>
      </c>
      <c r="B421" s="5">
        <v>5</v>
      </c>
      <c r="C421" s="5">
        <v>22.611000000000001</v>
      </c>
      <c r="D421" s="5">
        <v>23.329000000000001</v>
      </c>
      <c r="E421" s="5">
        <v>24.094000000000001</v>
      </c>
      <c r="F421" s="5">
        <v>3</v>
      </c>
      <c r="G421" s="5" t="s">
        <v>434</v>
      </c>
      <c r="H421" s="5" t="s">
        <v>431</v>
      </c>
      <c r="I421" s="5">
        <v>80</v>
      </c>
      <c r="J421" s="10">
        <f t="shared" si="13"/>
        <v>1</v>
      </c>
      <c r="K421" s="14" t="s">
        <v>500</v>
      </c>
      <c r="L421" s="12">
        <f t="shared" si="12"/>
        <v>0</v>
      </c>
    </row>
    <row r="422" spans="1:12" x14ac:dyDescent="0.3">
      <c r="A422" s="5">
        <v>4</v>
      </c>
      <c r="B422" s="5">
        <v>5</v>
      </c>
      <c r="C422" s="5">
        <v>49.613999999999997</v>
      </c>
      <c r="D422" s="5">
        <v>81.438000000000002</v>
      </c>
      <c r="E422" s="5">
        <v>92.891000000000005</v>
      </c>
      <c r="F422" s="5">
        <v>2</v>
      </c>
      <c r="G422" s="5" t="s">
        <v>431</v>
      </c>
      <c r="H422" s="5" t="s">
        <v>431</v>
      </c>
      <c r="I422" s="5">
        <v>60</v>
      </c>
      <c r="J422" s="10">
        <f t="shared" si="13"/>
        <v>1</v>
      </c>
      <c r="K422" s="14" t="s">
        <v>1182</v>
      </c>
      <c r="L422" s="12">
        <f t="shared" si="12"/>
        <v>1</v>
      </c>
    </row>
    <row r="423" spans="1:12" x14ac:dyDescent="0.3">
      <c r="A423" s="5">
        <v>4</v>
      </c>
      <c r="B423" s="5">
        <v>5</v>
      </c>
      <c r="C423" s="5">
        <v>10.24</v>
      </c>
      <c r="D423" s="5">
        <v>10.24</v>
      </c>
      <c r="E423" s="5">
        <v>11.617000000000001</v>
      </c>
      <c r="F423" s="5">
        <v>1</v>
      </c>
      <c r="G423" s="5" t="s">
        <v>434</v>
      </c>
      <c r="H423" s="5" t="s">
        <v>431</v>
      </c>
      <c r="I423" s="5">
        <v>51</v>
      </c>
      <c r="J423" s="10">
        <f t="shared" si="13"/>
        <v>0</v>
      </c>
      <c r="K423" s="14"/>
      <c r="L423" s="12">
        <f t="shared" si="12"/>
        <v>0</v>
      </c>
    </row>
    <row r="424" spans="1:12" x14ac:dyDescent="0.3">
      <c r="A424" s="5">
        <v>4</v>
      </c>
      <c r="B424" s="5">
        <v>6</v>
      </c>
      <c r="C424" s="5">
        <v>33.000999999999998</v>
      </c>
      <c r="D424" s="5">
        <v>33.000999999999998</v>
      </c>
      <c r="E424" s="5">
        <v>34.07</v>
      </c>
      <c r="F424" s="5">
        <v>1</v>
      </c>
      <c r="G424" s="5" t="s">
        <v>431</v>
      </c>
      <c r="H424" s="5" t="s">
        <v>431</v>
      </c>
      <c r="I424" s="5">
        <v>40</v>
      </c>
      <c r="J424" s="10">
        <f t="shared" si="13"/>
        <v>1</v>
      </c>
      <c r="K424" s="14" t="s">
        <v>1027</v>
      </c>
      <c r="L424" s="12">
        <f t="shared" si="12"/>
        <v>1</v>
      </c>
    </row>
    <row r="425" spans="1:12" x14ac:dyDescent="0.3">
      <c r="A425" s="5">
        <v>4</v>
      </c>
      <c r="B425" s="5">
        <v>6</v>
      </c>
      <c r="C425" s="5">
        <v>4.8259999999999996</v>
      </c>
      <c r="D425" s="5">
        <v>4.8259999999999996</v>
      </c>
      <c r="E425" s="5">
        <v>5.8040000000000003</v>
      </c>
      <c r="F425" s="5">
        <v>1</v>
      </c>
      <c r="G425" s="5" t="s">
        <v>431</v>
      </c>
      <c r="H425" s="5" t="s">
        <v>431</v>
      </c>
      <c r="I425" s="5">
        <v>75</v>
      </c>
      <c r="J425" s="10">
        <f t="shared" si="13"/>
        <v>0</v>
      </c>
      <c r="K425" s="14"/>
      <c r="L425" s="12">
        <f t="shared" si="12"/>
        <v>1</v>
      </c>
    </row>
    <row r="426" spans="1:12" x14ac:dyDescent="0.3">
      <c r="A426" s="5">
        <v>4</v>
      </c>
      <c r="B426" s="5">
        <v>6</v>
      </c>
      <c r="C426" s="5">
        <v>70.59</v>
      </c>
      <c r="D426" s="5">
        <v>70.59</v>
      </c>
      <c r="E426" s="5">
        <v>72.293000000000006</v>
      </c>
      <c r="F426" s="5">
        <v>1</v>
      </c>
      <c r="G426" s="5" t="s">
        <v>434</v>
      </c>
      <c r="H426" s="5" t="s">
        <v>431</v>
      </c>
      <c r="I426" s="5">
        <v>80</v>
      </c>
      <c r="J426" s="10">
        <f t="shared" si="13"/>
        <v>1</v>
      </c>
      <c r="K426" s="14" t="s">
        <v>1035</v>
      </c>
      <c r="L426" s="12">
        <f t="shared" si="12"/>
        <v>0</v>
      </c>
    </row>
    <row r="427" spans="1:12" x14ac:dyDescent="0.3">
      <c r="A427" s="5">
        <v>4</v>
      </c>
      <c r="B427" s="5">
        <v>6</v>
      </c>
      <c r="C427" s="5">
        <v>14.679</v>
      </c>
      <c r="D427" s="5">
        <v>14.679</v>
      </c>
      <c r="E427" s="5">
        <v>19.378</v>
      </c>
      <c r="F427" s="5">
        <v>1</v>
      </c>
      <c r="G427" s="5" t="s">
        <v>434</v>
      </c>
      <c r="H427" s="5" t="s">
        <v>431</v>
      </c>
      <c r="I427" s="5">
        <v>92</v>
      </c>
      <c r="J427" s="10">
        <f t="shared" si="13"/>
        <v>1</v>
      </c>
      <c r="K427" s="14" t="s">
        <v>1043</v>
      </c>
      <c r="L427" s="12">
        <f t="shared" si="12"/>
        <v>0</v>
      </c>
    </row>
    <row r="428" spans="1:12" x14ac:dyDescent="0.3">
      <c r="A428" s="5">
        <v>4</v>
      </c>
      <c r="B428" s="5">
        <v>6</v>
      </c>
      <c r="C428" s="5">
        <v>75.150999999999996</v>
      </c>
      <c r="D428" s="5">
        <v>75.150999999999996</v>
      </c>
      <c r="E428" s="5">
        <v>81.400999999999996</v>
      </c>
      <c r="F428" s="5">
        <v>1</v>
      </c>
      <c r="G428" s="5" t="s">
        <v>431</v>
      </c>
      <c r="H428" s="5" t="s">
        <v>431</v>
      </c>
      <c r="I428" s="5">
        <v>89</v>
      </c>
      <c r="J428" s="10">
        <f t="shared" si="13"/>
        <v>1</v>
      </c>
      <c r="K428" s="14" t="s">
        <v>1050</v>
      </c>
      <c r="L428" s="12">
        <f t="shared" si="12"/>
        <v>1</v>
      </c>
    </row>
    <row r="429" spans="1:12" x14ac:dyDescent="0.3">
      <c r="A429" s="5">
        <v>4</v>
      </c>
      <c r="B429" s="5">
        <v>6</v>
      </c>
      <c r="C429" s="5">
        <v>117.947</v>
      </c>
      <c r="D429" s="5">
        <v>117.947</v>
      </c>
      <c r="E429" s="5">
        <v>120.437</v>
      </c>
      <c r="F429" s="5">
        <v>1</v>
      </c>
      <c r="G429" s="5" t="s">
        <v>431</v>
      </c>
      <c r="H429" s="5" t="s">
        <v>431</v>
      </c>
      <c r="I429" s="5">
        <v>99</v>
      </c>
      <c r="J429" s="10">
        <f t="shared" si="13"/>
        <v>1</v>
      </c>
      <c r="K429" s="14" t="s">
        <v>1058</v>
      </c>
      <c r="L429" s="12">
        <f t="shared" si="12"/>
        <v>1</v>
      </c>
    </row>
    <row r="430" spans="1:12" x14ac:dyDescent="0.3">
      <c r="A430" s="5">
        <v>4</v>
      </c>
      <c r="B430" s="5">
        <v>6</v>
      </c>
      <c r="C430" s="5">
        <v>21.364000000000001</v>
      </c>
      <c r="D430" s="5">
        <v>21.364000000000001</v>
      </c>
      <c r="E430" s="5">
        <v>23.148</v>
      </c>
      <c r="F430" s="5">
        <v>1</v>
      </c>
      <c r="G430" s="5" t="s">
        <v>431</v>
      </c>
      <c r="H430" s="5" t="s">
        <v>431</v>
      </c>
      <c r="I430" s="5">
        <v>34</v>
      </c>
      <c r="J430" s="10">
        <f t="shared" si="13"/>
        <v>1</v>
      </c>
      <c r="K430" s="14" t="s">
        <v>1065</v>
      </c>
      <c r="L430" s="12">
        <f t="shared" si="12"/>
        <v>1</v>
      </c>
    </row>
    <row r="431" spans="1:12" x14ac:dyDescent="0.3">
      <c r="A431" s="5">
        <v>4</v>
      </c>
      <c r="B431" s="5">
        <v>6</v>
      </c>
      <c r="C431" s="5">
        <v>4.234</v>
      </c>
      <c r="D431" s="5">
        <v>36.328000000000003</v>
      </c>
      <c r="E431" s="5">
        <v>36.963000000000001</v>
      </c>
      <c r="F431" s="5">
        <v>2</v>
      </c>
      <c r="G431" s="5" t="s">
        <v>431</v>
      </c>
      <c r="H431" s="5" t="s">
        <v>431</v>
      </c>
      <c r="I431" s="5">
        <v>81</v>
      </c>
      <c r="J431" s="10">
        <f t="shared" si="13"/>
        <v>1</v>
      </c>
      <c r="K431" s="14" t="s">
        <v>1073</v>
      </c>
      <c r="L431" s="12">
        <f t="shared" si="12"/>
        <v>1</v>
      </c>
    </row>
    <row r="432" spans="1:12" x14ac:dyDescent="0.3">
      <c r="A432" s="5">
        <v>4</v>
      </c>
      <c r="B432" s="5">
        <v>6</v>
      </c>
      <c r="C432" s="5">
        <v>117.851</v>
      </c>
      <c r="D432" s="5">
        <v>117.851</v>
      </c>
      <c r="E432" s="5">
        <v>118.995</v>
      </c>
      <c r="F432" s="5">
        <v>1</v>
      </c>
      <c r="G432" s="5" t="s">
        <v>431</v>
      </c>
      <c r="H432" s="5" t="s">
        <v>431</v>
      </c>
      <c r="I432" s="5">
        <v>73</v>
      </c>
      <c r="J432" s="10">
        <f t="shared" si="13"/>
        <v>1</v>
      </c>
      <c r="K432" s="14" t="s">
        <v>1081</v>
      </c>
      <c r="L432" s="12">
        <f t="shared" si="12"/>
        <v>1</v>
      </c>
    </row>
    <row r="433" spans="1:12" x14ac:dyDescent="0.3">
      <c r="A433" s="5">
        <v>4</v>
      </c>
      <c r="B433" s="5">
        <v>6</v>
      </c>
      <c r="C433" s="5">
        <v>13.756</v>
      </c>
      <c r="D433" s="5">
        <v>13.756</v>
      </c>
      <c r="E433" s="5">
        <v>26.547999999999998</v>
      </c>
      <c r="F433" s="5">
        <v>1</v>
      </c>
      <c r="G433" s="5" t="s">
        <v>431</v>
      </c>
      <c r="H433" s="5" t="s">
        <v>431</v>
      </c>
      <c r="I433" s="5">
        <v>90</v>
      </c>
      <c r="J433" s="10">
        <f t="shared" si="13"/>
        <v>1</v>
      </c>
      <c r="K433" s="14" t="s">
        <v>1089</v>
      </c>
      <c r="L433" s="12">
        <f t="shared" si="12"/>
        <v>1</v>
      </c>
    </row>
    <row r="434" spans="1:12" x14ac:dyDescent="0.3">
      <c r="A434" s="5">
        <v>4</v>
      </c>
      <c r="B434" s="5">
        <v>6</v>
      </c>
      <c r="C434" s="5">
        <v>29.966000000000001</v>
      </c>
      <c r="D434" s="5">
        <v>29.966000000000001</v>
      </c>
      <c r="E434" s="5">
        <v>31.379000000000001</v>
      </c>
      <c r="F434" s="5">
        <v>1</v>
      </c>
      <c r="G434" s="5" t="s">
        <v>431</v>
      </c>
      <c r="H434" s="5" t="s">
        <v>431</v>
      </c>
      <c r="I434" s="5">
        <v>75</v>
      </c>
      <c r="J434" s="10">
        <f t="shared" si="13"/>
        <v>1</v>
      </c>
      <c r="K434" s="14" t="s">
        <v>1097</v>
      </c>
      <c r="L434" s="12">
        <f t="shared" si="12"/>
        <v>1</v>
      </c>
    </row>
    <row r="435" spans="1:12" x14ac:dyDescent="0.3">
      <c r="A435" s="5">
        <v>4</v>
      </c>
      <c r="B435" s="5">
        <v>6</v>
      </c>
      <c r="C435" s="5">
        <v>4.149</v>
      </c>
      <c r="D435" s="5">
        <v>9.4090000000000007</v>
      </c>
      <c r="E435" s="5">
        <v>11.928000000000001</v>
      </c>
      <c r="F435" s="5">
        <v>14</v>
      </c>
      <c r="G435" s="5" t="s">
        <v>434</v>
      </c>
      <c r="H435" s="5" t="s">
        <v>431</v>
      </c>
      <c r="I435" s="5">
        <v>79</v>
      </c>
      <c r="J435" s="10">
        <f t="shared" si="13"/>
        <v>1</v>
      </c>
      <c r="K435" s="14" t="s">
        <v>500</v>
      </c>
      <c r="L435" s="12">
        <f t="shared" si="12"/>
        <v>0</v>
      </c>
    </row>
    <row r="436" spans="1:12" x14ac:dyDescent="0.3">
      <c r="A436" s="5">
        <v>4</v>
      </c>
      <c r="B436" s="5">
        <v>6</v>
      </c>
      <c r="C436" s="5">
        <v>23.388000000000002</v>
      </c>
      <c r="D436" s="5">
        <v>23.388000000000002</v>
      </c>
      <c r="E436" s="5">
        <v>28.082000000000001</v>
      </c>
      <c r="F436" s="5">
        <v>1</v>
      </c>
      <c r="G436" s="5" t="s">
        <v>431</v>
      </c>
      <c r="H436" s="5" t="s">
        <v>431</v>
      </c>
      <c r="I436" s="5">
        <v>80</v>
      </c>
      <c r="J436" s="10">
        <f t="shared" si="13"/>
        <v>1</v>
      </c>
      <c r="K436" s="14" t="s">
        <v>1181</v>
      </c>
      <c r="L436" s="12">
        <f t="shared" si="12"/>
        <v>1</v>
      </c>
    </row>
    <row r="437" spans="1:12" x14ac:dyDescent="0.3">
      <c r="A437" s="5">
        <v>4</v>
      </c>
      <c r="B437" s="5">
        <v>6</v>
      </c>
      <c r="C437" s="5">
        <v>32.058999999999997</v>
      </c>
      <c r="D437" s="5">
        <v>32.058999999999997</v>
      </c>
      <c r="E437" s="5">
        <v>34.488999999999997</v>
      </c>
      <c r="F437" s="5">
        <v>1</v>
      </c>
      <c r="G437" s="5" t="s">
        <v>431</v>
      </c>
      <c r="H437" s="5" t="s">
        <v>431</v>
      </c>
      <c r="I437" s="5">
        <v>73</v>
      </c>
      <c r="J437" s="10">
        <f t="shared" si="13"/>
        <v>1</v>
      </c>
      <c r="K437" s="14" t="s">
        <v>1174</v>
      </c>
      <c r="L437" s="12">
        <f t="shared" si="12"/>
        <v>1</v>
      </c>
    </row>
    <row r="438" spans="1:12" x14ac:dyDescent="0.3">
      <c r="A438" s="5">
        <v>4</v>
      </c>
      <c r="B438" s="5">
        <v>7</v>
      </c>
      <c r="C438" s="5">
        <v>40.258000000000003</v>
      </c>
      <c r="D438" s="5">
        <v>40.258000000000003</v>
      </c>
      <c r="E438" s="5">
        <v>41.576999999999998</v>
      </c>
      <c r="F438" s="5">
        <v>1</v>
      </c>
      <c r="G438" s="5" t="s">
        <v>434</v>
      </c>
      <c r="H438" s="5" t="s">
        <v>434</v>
      </c>
      <c r="I438" s="5">
        <v>70</v>
      </c>
      <c r="J438" s="10">
        <f t="shared" si="13"/>
        <v>1</v>
      </c>
      <c r="K438" s="14" t="s">
        <v>1028</v>
      </c>
      <c r="L438" s="12">
        <f t="shared" si="12"/>
        <v>1</v>
      </c>
    </row>
    <row r="439" spans="1:12" x14ac:dyDescent="0.3">
      <c r="A439" s="5">
        <v>4</v>
      </c>
      <c r="B439" s="5">
        <v>7</v>
      </c>
      <c r="C439" s="5">
        <v>12.041</v>
      </c>
      <c r="D439" s="5">
        <v>12.041</v>
      </c>
      <c r="E439" s="5">
        <v>14.252000000000001</v>
      </c>
      <c r="F439" s="5">
        <v>1</v>
      </c>
      <c r="G439" s="5" t="s">
        <v>431</v>
      </c>
      <c r="H439" s="5" t="s">
        <v>434</v>
      </c>
      <c r="I439" s="5">
        <v>82</v>
      </c>
      <c r="J439" s="10">
        <f t="shared" si="13"/>
        <v>0</v>
      </c>
      <c r="K439" s="14"/>
      <c r="L439" s="12">
        <f t="shared" si="12"/>
        <v>0</v>
      </c>
    </row>
    <row r="440" spans="1:12" x14ac:dyDescent="0.3">
      <c r="A440" s="5">
        <v>4</v>
      </c>
      <c r="B440" s="5">
        <v>7</v>
      </c>
      <c r="C440" s="5">
        <v>11.132999999999999</v>
      </c>
      <c r="D440" s="5">
        <v>11.132999999999999</v>
      </c>
      <c r="E440" s="5">
        <v>17.594000000000001</v>
      </c>
      <c r="F440" s="5">
        <v>1</v>
      </c>
      <c r="G440" s="5" t="s">
        <v>434</v>
      </c>
      <c r="H440" s="5" t="s">
        <v>434</v>
      </c>
      <c r="I440" s="5">
        <v>95</v>
      </c>
      <c r="J440" s="10">
        <f t="shared" si="13"/>
        <v>1</v>
      </c>
      <c r="K440" s="14" t="s">
        <v>1036</v>
      </c>
      <c r="L440" s="12">
        <f t="shared" si="12"/>
        <v>1</v>
      </c>
    </row>
    <row r="441" spans="1:12" x14ac:dyDescent="0.3">
      <c r="A441" s="5">
        <v>4</v>
      </c>
      <c r="B441" s="5">
        <v>7</v>
      </c>
      <c r="C441" s="5">
        <v>10.461</v>
      </c>
      <c r="D441" s="5">
        <v>11.497999999999999</v>
      </c>
      <c r="E441" s="5">
        <v>11.891</v>
      </c>
      <c r="F441" s="5">
        <v>2</v>
      </c>
      <c r="G441" s="5" t="s">
        <v>434</v>
      </c>
      <c r="H441" s="5" t="s">
        <v>434</v>
      </c>
      <c r="I441" s="5">
        <v>86</v>
      </c>
      <c r="J441" s="10">
        <f t="shared" si="13"/>
        <v>1</v>
      </c>
      <c r="K441" s="14" t="s">
        <v>1044</v>
      </c>
      <c r="L441" s="12">
        <f t="shared" si="12"/>
        <v>1</v>
      </c>
    </row>
    <row r="442" spans="1:12" x14ac:dyDescent="0.3">
      <c r="A442" s="5">
        <v>4</v>
      </c>
      <c r="B442" s="5">
        <v>7</v>
      </c>
      <c r="C442" s="5">
        <v>44.204999999999998</v>
      </c>
      <c r="D442" s="5">
        <v>44.204999999999998</v>
      </c>
      <c r="E442" s="5">
        <v>46.88</v>
      </c>
      <c r="F442" s="5">
        <v>1</v>
      </c>
      <c r="G442" s="5" t="s">
        <v>434</v>
      </c>
      <c r="H442" s="5" t="s">
        <v>434</v>
      </c>
      <c r="I442" s="5">
        <v>91</v>
      </c>
      <c r="J442" s="10">
        <f t="shared" si="13"/>
        <v>1</v>
      </c>
      <c r="K442" s="14" t="s">
        <v>1051</v>
      </c>
      <c r="L442" s="12">
        <f t="shared" si="12"/>
        <v>1</v>
      </c>
    </row>
    <row r="443" spans="1:12" x14ac:dyDescent="0.3">
      <c r="A443" s="5">
        <v>4</v>
      </c>
      <c r="B443" s="5">
        <v>7</v>
      </c>
      <c r="C443" s="5">
        <v>129.70699999999999</v>
      </c>
      <c r="D443" s="5">
        <v>129.70699999999999</v>
      </c>
      <c r="E443" s="5">
        <v>131.708</v>
      </c>
      <c r="F443" s="5">
        <v>1</v>
      </c>
      <c r="G443" s="5" t="s">
        <v>431</v>
      </c>
      <c r="H443" s="5" t="s">
        <v>434</v>
      </c>
      <c r="I443" s="5">
        <v>99</v>
      </c>
      <c r="J443" s="10">
        <f t="shared" si="13"/>
        <v>1</v>
      </c>
      <c r="K443" s="14" t="s">
        <v>1059</v>
      </c>
      <c r="L443" s="12">
        <f t="shared" si="12"/>
        <v>0</v>
      </c>
    </row>
    <row r="444" spans="1:12" x14ac:dyDescent="0.3">
      <c r="A444" s="5">
        <v>4</v>
      </c>
      <c r="B444" s="5">
        <v>7</v>
      </c>
      <c r="C444" s="5">
        <v>8.0399999999999991</v>
      </c>
      <c r="D444" s="5">
        <v>8.0399999999999991</v>
      </c>
      <c r="E444" s="5">
        <v>15.298999999999999</v>
      </c>
      <c r="F444" s="5">
        <v>1</v>
      </c>
      <c r="G444" s="5" t="s">
        <v>434</v>
      </c>
      <c r="H444" s="5" t="s">
        <v>434</v>
      </c>
      <c r="I444" s="5">
        <v>65</v>
      </c>
      <c r="J444" s="10">
        <f t="shared" si="13"/>
        <v>1</v>
      </c>
      <c r="K444" s="14" t="s">
        <v>1066</v>
      </c>
      <c r="L444" s="12">
        <f t="shared" si="12"/>
        <v>1</v>
      </c>
    </row>
    <row r="445" spans="1:12" x14ac:dyDescent="0.3">
      <c r="A445" s="5">
        <v>4</v>
      </c>
      <c r="B445" s="5">
        <v>7</v>
      </c>
      <c r="C445" s="5">
        <v>3.4980000000000002</v>
      </c>
      <c r="D445" s="5">
        <v>60.268999999999998</v>
      </c>
      <c r="E445" s="5">
        <v>65.787999999999997</v>
      </c>
      <c r="F445" s="5">
        <v>2</v>
      </c>
      <c r="G445" s="5" t="s">
        <v>434</v>
      </c>
      <c r="H445" s="5" t="s">
        <v>434</v>
      </c>
      <c r="I445" s="5">
        <v>74</v>
      </c>
      <c r="J445" s="10">
        <f t="shared" si="13"/>
        <v>1</v>
      </c>
      <c r="K445" s="14" t="s">
        <v>1074</v>
      </c>
      <c r="L445" s="12">
        <f t="shared" si="12"/>
        <v>1</v>
      </c>
    </row>
    <row r="446" spans="1:12" x14ac:dyDescent="0.3">
      <c r="A446" s="5">
        <v>4</v>
      </c>
      <c r="B446" s="5">
        <v>7</v>
      </c>
      <c r="C446" s="5">
        <v>46.939</v>
      </c>
      <c r="D446" s="5">
        <v>46.939</v>
      </c>
      <c r="E446" s="5">
        <v>71.641999999999996</v>
      </c>
      <c r="F446" s="5">
        <v>1</v>
      </c>
      <c r="G446" s="5" t="s">
        <v>434</v>
      </c>
      <c r="H446" s="5" t="s">
        <v>434</v>
      </c>
      <c r="I446" s="5">
        <v>93</v>
      </c>
      <c r="J446" s="10">
        <f t="shared" si="13"/>
        <v>1</v>
      </c>
      <c r="K446" s="14" t="s">
        <v>1082</v>
      </c>
      <c r="L446" s="12">
        <f t="shared" si="12"/>
        <v>1</v>
      </c>
    </row>
    <row r="447" spans="1:12" x14ac:dyDescent="0.3">
      <c r="A447" s="5">
        <v>4</v>
      </c>
      <c r="B447" s="5">
        <v>7</v>
      </c>
      <c r="C447" s="5">
        <v>16.385000000000002</v>
      </c>
      <c r="D447" s="5">
        <v>16.385000000000002</v>
      </c>
      <c r="E447" s="5">
        <v>18.736999999999998</v>
      </c>
      <c r="F447" s="5">
        <v>1</v>
      </c>
      <c r="G447" s="5" t="s">
        <v>434</v>
      </c>
      <c r="H447" s="5" t="s">
        <v>434</v>
      </c>
      <c r="I447" s="5">
        <v>80</v>
      </c>
      <c r="J447" s="10">
        <f t="shared" si="13"/>
        <v>1</v>
      </c>
      <c r="K447" s="14" t="s">
        <v>1090</v>
      </c>
      <c r="L447" s="12">
        <f t="shared" si="12"/>
        <v>1</v>
      </c>
    </row>
    <row r="448" spans="1:12" x14ac:dyDescent="0.3">
      <c r="A448" s="5">
        <v>4</v>
      </c>
      <c r="B448" s="5">
        <v>7</v>
      </c>
      <c r="C448" s="5">
        <v>13.255000000000001</v>
      </c>
      <c r="D448" s="5">
        <v>14.087</v>
      </c>
      <c r="E448" s="5">
        <v>17.928999999999998</v>
      </c>
      <c r="F448" s="5">
        <v>2</v>
      </c>
      <c r="G448" s="5" t="s">
        <v>434</v>
      </c>
      <c r="H448" s="5" t="s">
        <v>434</v>
      </c>
      <c r="I448" s="5">
        <v>80</v>
      </c>
      <c r="J448" s="10">
        <f t="shared" si="13"/>
        <v>1</v>
      </c>
      <c r="K448" s="14" t="s">
        <v>1098</v>
      </c>
      <c r="L448" s="12">
        <f t="shared" si="12"/>
        <v>1</v>
      </c>
    </row>
    <row r="449" spans="1:12" x14ac:dyDescent="0.3">
      <c r="A449" s="5">
        <v>4</v>
      </c>
      <c r="B449" s="5">
        <v>7</v>
      </c>
      <c r="C449" s="5">
        <v>11.127000000000001</v>
      </c>
      <c r="D449" s="5">
        <v>11.127000000000001</v>
      </c>
      <c r="E449" s="5">
        <v>12.215999999999999</v>
      </c>
      <c r="F449" s="5">
        <v>1</v>
      </c>
      <c r="G449" s="5" t="s">
        <v>434</v>
      </c>
      <c r="H449" s="5" t="s">
        <v>434</v>
      </c>
      <c r="I449" s="5">
        <v>88</v>
      </c>
      <c r="J449" s="10">
        <f t="shared" si="13"/>
        <v>1</v>
      </c>
      <c r="K449" s="14" t="s">
        <v>1188</v>
      </c>
      <c r="L449" s="12">
        <f t="shared" si="12"/>
        <v>1</v>
      </c>
    </row>
    <row r="450" spans="1:12" x14ac:dyDescent="0.3">
      <c r="A450" s="5">
        <v>4</v>
      </c>
      <c r="B450" s="5">
        <v>7</v>
      </c>
      <c r="C450" s="5">
        <v>16.617999999999999</v>
      </c>
      <c r="D450" s="5">
        <v>16.617999999999999</v>
      </c>
      <c r="E450" s="5">
        <v>20.361000000000001</v>
      </c>
      <c r="F450" s="5">
        <v>1</v>
      </c>
      <c r="G450" s="5" t="s">
        <v>434</v>
      </c>
      <c r="H450" s="5" t="s">
        <v>434</v>
      </c>
      <c r="I450" s="5">
        <v>80</v>
      </c>
      <c r="J450" s="10">
        <f t="shared" si="13"/>
        <v>1</v>
      </c>
      <c r="K450" s="14" t="s">
        <v>1180</v>
      </c>
      <c r="L450" s="12">
        <f t="shared" si="12"/>
        <v>1</v>
      </c>
    </row>
    <row r="451" spans="1:12" x14ac:dyDescent="0.3">
      <c r="A451" s="5">
        <v>4</v>
      </c>
      <c r="B451" s="5">
        <v>7</v>
      </c>
      <c r="C451" s="5">
        <v>6.5369999999999999</v>
      </c>
      <c r="D451" s="5">
        <v>6.5369999999999999</v>
      </c>
      <c r="E451" s="5">
        <v>8.39</v>
      </c>
      <c r="F451" s="5">
        <v>1</v>
      </c>
      <c r="G451" s="5" t="s">
        <v>434</v>
      </c>
      <c r="H451" s="5" t="s">
        <v>434</v>
      </c>
      <c r="I451" s="5">
        <v>87</v>
      </c>
      <c r="J451" s="10">
        <f t="shared" si="13"/>
        <v>1</v>
      </c>
      <c r="K451" s="14" t="s">
        <v>1173</v>
      </c>
      <c r="L451" s="12">
        <f t="shared" si="12"/>
        <v>1</v>
      </c>
    </row>
    <row r="452" spans="1:12" x14ac:dyDescent="0.3">
      <c r="A452" s="5">
        <v>4</v>
      </c>
      <c r="B452" s="5">
        <v>8</v>
      </c>
      <c r="C452" s="5">
        <v>21.821999999999999</v>
      </c>
      <c r="D452" s="5">
        <v>21.821999999999999</v>
      </c>
      <c r="E452" s="5">
        <v>22.965</v>
      </c>
      <c r="F452" s="5">
        <v>1</v>
      </c>
      <c r="G452" s="5" t="s">
        <v>434</v>
      </c>
      <c r="H452" s="5" t="s">
        <v>434</v>
      </c>
      <c r="I452" s="5">
        <v>60</v>
      </c>
      <c r="J452" s="10">
        <f t="shared" si="13"/>
        <v>1</v>
      </c>
      <c r="K452" s="14" t="s">
        <v>1029</v>
      </c>
      <c r="L452" s="12">
        <f t="shared" si="12"/>
        <v>1</v>
      </c>
    </row>
    <row r="453" spans="1:12" x14ac:dyDescent="0.3">
      <c r="A453" s="5">
        <v>4</v>
      </c>
      <c r="B453" s="5">
        <v>8</v>
      </c>
      <c r="C453" s="5">
        <v>8.0920000000000005</v>
      </c>
      <c r="D453" s="5">
        <v>8.0920000000000005</v>
      </c>
      <c r="E453" s="5">
        <v>8.9179999999999993</v>
      </c>
      <c r="F453" s="5">
        <v>1</v>
      </c>
      <c r="G453" s="5" t="s">
        <v>431</v>
      </c>
      <c r="H453" s="5" t="s">
        <v>434</v>
      </c>
      <c r="I453" s="5">
        <v>81</v>
      </c>
      <c r="J453" s="10">
        <f t="shared" si="13"/>
        <v>0</v>
      </c>
      <c r="K453" s="14"/>
      <c r="L453" s="12">
        <f t="shared" si="12"/>
        <v>0</v>
      </c>
    </row>
    <row r="454" spans="1:12" x14ac:dyDescent="0.3">
      <c r="A454" s="5">
        <v>4</v>
      </c>
      <c r="B454" s="5">
        <v>8</v>
      </c>
      <c r="C454" s="5">
        <v>37.826000000000001</v>
      </c>
      <c r="D454" s="5">
        <v>37.826000000000001</v>
      </c>
      <c r="E454" s="5">
        <v>44.401000000000003</v>
      </c>
      <c r="F454" s="5">
        <v>1</v>
      </c>
      <c r="G454" s="5" t="s">
        <v>434</v>
      </c>
      <c r="H454" s="5" t="s">
        <v>434</v>
      </c>
      <c r="I454" s="5">
        <v>80</v>
      </c>
      <c r="J454" s="10">
        <f t="shared" si="13"/>
        <v>1</v>
      </c>
      <c r="K454" s="14" t="s">
        <v>1037</v>
      </c>
      <c r="L454" s="12">
        <f t="shared" si="12"/>
        <v>1</v>
      </c>
    </row>
    <row r="455" spans="1:12" x14ac:dyDescent="0.3">
      <c r="A455" s="5">
        <v>4</v>
      </c>
      <c r="B455" s="5">
        <v>8</v>
      </c>
      <c r="C455" s="5">
        <v>10.368</v>
      </c>
      <c r="D455" s="5">
        <v>10.368</v>
      </c>
      <c r="E455" s="5">
        <v>11.693</v>
      </c>
      <c r="F455" s="5">
        <v>1</v>
      </c>
      <c r="G455" s="5" t="s">
        <v>434</v>
      </c>
      <c r="H455" s="5" t="s">
        <v>434</v>
      </c>
      <c r="I455" s="5">
        <v>44</v>
      </c>
      <c r="J455" s="10">
        <f t="shared" si="13"/>
        <v>0</v>
      </c>
      <c r="K455" s="14"/>
      <c r="L455" s="12">
        <f t="shared" si="12"/>
        <v>1</v>
      </c>
    </row>
    <row r="456" spans="1:12" x14ac:dyDescent="0.3">
      <c r="A456" s="5">
        <v>4</v>
      </c>
      <c r="B456" s="5">
        <v>8</v>
      </c>
      <c r="C456" s="5">
        <v>110.614</v>
      </c>
      <c r="D456" s="5">
        <v>110.614</v>
      </c>
      <c r="E456" s="5">
        <v>112.199</v>
      </c>
      <c r="F456" s="5">
        <v>1</v>
      </c>
      <c r="G456" s="5" t="s">
        <v>434</v>
      </c>
      <c r="H456" s="5" t="s">
        <v>434</v>
      </c>
      <c r="I456" s="5">
        <v>84</v>
      </c>
      <c r="J456" s="10">
        <f t="shared" si="13"/>
        <v>1</v>
      </c>
      <c r="K456" s="14" t="s">
        <v>1052</v>
      </c>
      <c r="L456" s="12">
        <f t="shared" si="12"/>
        <v>1</v>
      </c>
    </row>
    <row r="457" spans="1:12" x14ac:dyDescent="0.3">
      <c r="A457" s="5">
        <v>4</v>
      </c>
      <c r="B457" s="5">
        <v>8</v>
      </c>
      <c r="C457" s="5">
        <v>140.56899999999999</v>
      </c>
      <c r="D457" s="5">
        <v>140.56899999999999</v>
      </c>
      <c r="E457" s="5">
        <v>141.44999999999999</v>
      </c>
      <c r="F457" s="5">
        <v>1</v>
      </c>
      <c r="G457" s="5" t="s">
        <v>431</v>
      </c>
      <c r="H457" s="5" t="s">
        <v>434</v>
      </c>
      <c r="I457" s="5">
        <v>100</v>
      </c>
      <c r="J457" s="10">
        <f t="shared" si="13"/>
        <v>1</v>
      </c>
      <c r="K457" s="14" t="s">
        <v>1060</v>
      </c>
      <c r="L457" s="12">
        <f t="shared" si="12"/>
        <v>0</v>
      </c>
    </row>
    <row r="458" spans="1:12" x14ac:dyDescent="0.3">
      <c r="A458" s="5">
        <v>4</v>
      </c>
      <c r="B458" s="5">
        <v>8</v>
      </c>
      <c r="C458" s="5">
        <v>3267.0219999999999</v>
      </c>
      <c r="D458" s="5">
        <v>3267.0219999999999</v>
      </c>
      <c r="E458" s="5">
        <v>3268.9760000000001</v>
      </c>
      <c r="F458" s="5">
        <v>1</v>
      </c>
      <c r="G458" s="5" t="s">
        <v>431</v>
      </c>
      <c r="H458" s="5" t="s">
        <v>434</v>
      </c>
      <c r="I458" s="5">
        <v>41</v>
      </c>
      <c r="J458" s="10">
        <f t="shared" si="13"/>
        <v>1</v>
      </c>
      <c r="K458" s="14" t="s">
        <v>1067</v>
      </c>
      <c r="L458" s="12">
        <f t="shared" si="12"/>
        <v>0</v>
      </c>
    </row>
    <row r="459" spans="1:12" x14ac:dyDescent="0.3">
      <c r="A459" s="5">
        <v>4</v>
      </c>
      <c r="B459" s="5">
        <v>8</v>
      </c>
      <c r="C459" s="5">
        <v>0.50800000000000001</v>
      </c>
      <c r="D459" s="5">
        <v>25.251999999999999</v>
      </c>
      <c r="E459" s="5">
        <v>26.053000000000001</v>
      </c>
      <c r="F459" s="5">
        <v>7</v>
      </c>
      <c r="G459" s="5" t="s">
        <v>431</v>
      </c>
      <c r="H459" s="5" t="s">
        <v>434</v>
      </c>
      <c r="I459" s="5">
        <v>79</v>
      </c>
      <c r="J459" s="10">
        <f t="shared" si="13"/>
        <v>1</v>
      </c>
      <c r="K459" s="14" t="s">
        <v>1075</v>
      </c>
      <c r="L459" s="12">
        <f t="shared" si="12"/>
        <v>0</v>
      </c>
    </row>
    <row r="460" spans="1:12" x14ac:dyDescent="0.3">
      <c r="A460" s="5">
        <v>4</v>
      </c>
      <c r="B460" s="5">
        <v>8</v>
      </c>
      <c r="C460" s="5">
        <v>13.72</v>
      </c>
      <c r="D460" s="5">
        <v>64.847999999999999</v>
      </c>
      <c r="E460" s="5">
        <v>69.093000000000004</v>
      </c>
      <c r="F460" s="5">
        <v>4</v>
      </c>
      <c r="G460" s="5" t="s">
        <v>431</v>
      </c>
      <c r="H460" s="5" t="s">
        <v>434</v>
      </c>
      <c r="I460" s="5">
        <v>81</v>
      </c>
      <c r="J460" s="10">
        <f t="shared" si="13"/>
        <v>1</v>
      </c>
      <c r="K460" s="14" t="s">
        <v>1083</v>
      </c>
      <c r="L460" s="12">
        <f t="shared" si="12"/>
        <v>0</v>
      </c>
    </row>
    <row r="461" spans="1:12" x14ac:dyDescent="0.3">
      <c r="A461" s="5">
        <v>4</v>
      </c>
      <c r="B461" s="5">
        <v>8</v>
      </c>
      <c r="C461" s="5">
        <v>39.277999999999999</v>
      </c>
      <c r="D461" s="5">
        <v>39.277999999999999</v>
      </c>
      <c r="E461" s="5">
        <v>41.085000000000001</v>
      </c>
      <c r="F461" s="5">
        <v>1</v>
      </c>
      <c r="G461" s="5" t="s">
        <v>431</v>
      </c>
      <c r="H461" s="5" t="s">
        <v>434</v>
      </c>
      <c r="I461" s="5">
        <v>75</v>
      </c>
      <c r="J461" s="10">
        <f t="shared" si="13"/>
        <v>1</v>
      </c>
      <c r="K461" s="14" t="s">
        <v>1091</v>
      </c>
      <c r="L461" s="12">
        <f t="shared" si="12"/>
        <v>0</v>
      </c>
    </row>
    <row r="462" spans="1:12" x14ac:dyDescent="0.3">
      <c r="A462" s="5">
        <v>4</v>
      </c>
      <c r="B462" s="5">
        <v>8</v>
      </c>
      <c r="C462" s="5">
        <v>160.976</v>
      </c>
      <c r="D462" s="5">
        <v>160.976</v>
      </c>
      <c r="E462" s="5">
        <v>162.196</v>
      </c>
      <c r="F462" s="5">
        <v>1</v>
      </c>
      <c r="G462" s="5" t="s">
        <v>431</v>
      </c>
      <c r="H462" s="5" t="s">
        <v>434</v>
      </c>
      <c r="I462" s="5">
        <v>50</v>
      </c>
      <c r="J462" s="10">
        <f t="shared" si="13"/>
        <v>1</v>
      </c>
      <c r="K462" s="14" t="s">
        <v>1099</v>
      </c>
      <c r="L462" s="12">
        <f t="shared" si="12"/>
        <v>0</v>
      </c>
    </row>
    <row r="463" spans="1:12" x14ac:dyDescent="0.3">
      <c r="A463" s="5">
        <v>4</v>
      </c>
      <c r="B463" s="5">
        <v>8</v>
      </c>
      <c r="C463" s="5">
        <v>12.276</v>
      </c>
      <c r="D463" s="5">
        <v>14.007</v>
      </c>
      <c r="E463" s="5">
        <v>15.292999999999999</v>
      </c>
      <c r="F463" s="5">
        <v>2</v>
      </c>
      <c r="G463" s="5" t="s">
        <v>431</v>
      </c>
      <c r="H463" s="5" t="s">
        <v>434</v>
      </c>
      <c r="I463" s="5">
        <v>87</v>
      </c>
      <c r="J463" s="10">
        <f t="shared" si="13"/>
        <v>1</v>
      </c>
      <c r="K463" s="14" t="s">
        <v>1187</v>
      </c>
      <c r="L463" s="12">
        <f t="shared" si="12"/>
        <v>0</v>
      </c>
    </row>
    <row r="464" spans="1:12" x14ac:dyDescent="0.3">
      <c r="A464" s="5">
        <v>4</v>
      </c>
      <c r="B464" s="5">
        <v>8</v>
      </c>
      <c r="C464" s="5">
        <v>62.643999999999998</v>
      </c>
      <c r="D464" s="5">
        <v>62.643999999999998</v>
      </c>
      <c r="E464" s="5">
        <v>66.599999999999994</v>
      </c>
      <c r="F464" s="5">
        <v>1</v>
      </c>
      <c r="G464" s="5" t="s">
        <v>431</v>
      </c>
      <c r="H464" s="5" t="s">
        <v>434</v>
      </c>
      <c r="I464" s="5">
        <v>70</v>
      </c>
      <c r="J464" s="10">
        <f t="shared" si="13"/>
        <v>1</v>
      </c>
      <c r="K464" s="14" t="s">
        <v>1179</v>
      </c>
      <c r="L464" s="12">
        <f t="shared" si="12"/>
        <v>0</v>
      </c>
    </row>
    <row r="465" spans="1:12" x14ac:dyDescent="0.3">
      <c r="A465" s="5">
        <v>4</v>
      </c>
      <c r="B465" s="5">
        <v>8</v>
      </c>
      <c r="C465" s="5">
        <v>29.084</v>
      </c>
      <c r="D465" s="5">
        <v>29.084</v>
      </c>
      <c r="E465" s="5">
        <v>30.654</v>
      </c>
      <c r="F465" s="5">
        <v>1</v>
      </c>
      <c r="G465" s="5" t="s">
        <v>431</v>
      </c>
      <c r="H465" s="5" t="s">
        <v>434</v>
      </c>
      <c r="I465" s="5">
        <v>52</v>
      </c>
      <c r="J465" s="10">
        <f t="shared" si="13"/>
        <v>0</v>
      </c>
      <c r="K465" s="14"/>
      <c r="L465" s="12">
        <f t="shared" si="1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DQ&amp;Q</vt:lpstr>
      <vt:lpstr>v1.1</vt:lpstr>
      <vt:lpstr>v1.2</vt:lpstr>
      <vt:lpstr>v1.3</vt:lpstr>
      <vt:lpstr>v1.4</vt:lpstr>
      <vt:lpstr>Compiled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Sreeram Marimuthu</dc:creator>
  <cp:lastModifiedBy>Sreeram Marimuthu</cp:lastModifiedBy>
  <dcterms:created xsi:type="dcterms:W3CDTF">2024-11-15T14:55:31Z</dcterms:created>
  <dcterms:modified xsi:type="dcterms:W3CDTF">2025-01-23T17:37:12Z</dcterms:modified>
</cp:coreProperties>
</file>